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Discovery" sheetId="1" state="visible" r:id="rId3"/>
    <sheet name="2_Legal_Requirements" sheetId="2" state="visible" r:id="rId4"/>
    <sheet name="3_Asset_Inventory" sheetId="3" state="visible" r:id="rId5"/>
    <sheet name="4_Probability_Matrix" sheetId="4" state="visible" r:id="rId6"/>
    <sheet name="5_Impact_Matrix" sheetId="5" state="visible" r:id="rId7"/>
    <sheet name="6_Risk_Register" sheetId="6" state="visible" r:id="rId8"/>
    <sheet name="7_Heat_Map" sheetId="7" state="visible" r:id="rId9"/>
    <sheet name="8_Risk_Dashboard" sheetId="8" state="visible" r:id="rId10"/>
    <sheet name="9_Treatment_Pla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<sst xmlns="http://schemas.openxmlformats.org/spreadsheetml/2006/main" count="849" uniqueCount="447">
  <si>
    <t xml:space="preserve">IT RISK ASSESSMENT  ·  Phase 1: Discovery &amp; Organisational Profile</t>
  </si>
  <si>
    <t xml:space="preserve">Complete this questionnaire before conducting the risk assessment. All fields are required.</t>
  </si>
  <si>
    <t xml:space="preserve">#</t>
  </si>
  <si>
    <t xml:space="preserve">Question</t>
  </si>
  <si>
    <t xml:space="preserve">Response / Answer</t>
  </si>
  <si>
    <t xml:space="preserve">Status</t>
  </si>
  <si>
    <t xml:space="preserve">1</t>
  </si>
  <si>
    <t xml:space="preserve">Company Name</t>
  </si>
  <si>
    <t xml:space="preserve">Pending</t>
  </si>
  <si>
    <t xml:space="preserve">2</t>
  </si>
  <si>
    <t xml:space="preserve">Company Background</t>
  </si>
  <si>
    <t xml:space="preserve">3</t>
  </si>
  <si>
    <t xml:space="preserve">Business Goals &amp; Objectives</t>
  </si>
  <si>
    <t xml:space="preserve">4</t>
  </si>
  <si>
    <t xml:space="preserve">Regulatory Obligations</t>
  </si>
  <si>
    <t xml:space="preserve">5</t>
  </si>
  <si>
    <t xml:space="preserve">Client Industries Served</t>
  </si>
  <si>
    <t xml:space="preserve">6</t>
  </si>
  <si>
    <t xml:space="preserve">Employee Count (FTE)</t>
  </si>
  <si>
    <t xml:space="preserve">7</t>
  </si>
  <si>
    <t xml:space="preserve">Contractor / Outsourced Staff</t>
  </si>
  <si>
    <t xml:space="preserve">8</t>
  </si>
  <si>
    <t xml:space="preserve">Internal Business Functions</t>
  </si>
  <si>
    <t xml:space="preserve">9</t>
  </si>
  <si>
    <t xml:space="preserve">Critical Business Systems</t>
  </si>
  <si>
    <t xml:space="preserve">10</t>
  </si>
  <si>
    <t xml:space="preserve">Public-Facing IT Assets</t>
  </si>
  <si>
    <t xml:space="preserve">11</t>
  </si>
  <si>
    <t xml:space="preserve">Contracts &amp; Outsourcing</t>
  </si>
  <si>
    <t xml:space="preserve">12</t>
  </si>
  <si>
    <t xml:space="preserve">Any Threat Intel Providers?</t>
  </si>
  <si>
    <t xml:space="preserve">13</t>
  </si>
  <si>
    <t xml:space="preserve">Risk Tolerance Statement</t>
  </si>
  <si>
    <t xml:space="preserve">14</t>
  </si>
  <si>
    <t xml:space="preserve">Existing Security Controls</t>
  </si>
  <si>
    <t xml:space="preserve">15</t>
  </si>
  <si>
    <t xml:space="preserve">Previous Security Incidents</t>
  </si>
  <si>
    <t xml:space="preserve">16</t>
  </si>
  <si>
    <t xml:space="preserve">Compliance Audit Status</t>
  </si>
  <si>
    <t xml:space="preserve">17</t>
  </si>
  <si>
    <t xml:space="preserve">Risk Assessment Scope</t>
  </si>
  <si>
    <t xml:space="preserve">IT RISK ASSESSMENT  ·  Phase 2: Legal &amp; Regulatory Requirements Matrix</t>
  </si>
  <si>
    <t xml:space="preserve">Identify all applicable regulations. Mark 'Applicable' for regulations relevant to your organisation.</t>
  </si>
  <si>
    <t xml:space="preserve">Regulation / Standard</t>
  </si>
  <si>
    <t xml:space="preserve">Requirement Summary</t>
  </si>
  <si>
    <t xml:space="preserve">Key Action Required</t>
  </si>
  <si>
    <t xml:space="preserve">Applicable (Y/N)</t>
  </si>
  <si>
    <t xml:space="preserve">FISMA 2002</t>
  </si>
  <si>
    <t xml:space="preserve">Requires federal agencies to have continuous risk assessments of information systems. OMB mandates risk-based security controls.</t>
  </si>
  <si>
    <t xml:space="preserve">Conduct annual risk assessments; maintain system security plan (SSP); report to OMB</t>
  </si>
  <si>
    <t xml:space="preserve">Y</t>
  </si>
  <si>
    <t xml:space="preserve">GLBA / Safeguards Rule</t>
  </si>
  <si>
    <t xml:space="preserve">Section 314.4 — nine mandatory elements for info security programme, first of which is a risk assessment of customer financial data.</t>
  </si>
  <si>
    <t xml:space="preserve">Assess internal &amp; external risks to customer data; design safeguards; document programme</t>
  </si>
  <si>
    <t xml:space="preserve">HIPAA Security Rule</t>
  </si>
  <si>
    <t xml:space="preserve">§164.308(a)(1) — Risk Analysis is a required implementation specification for all covered entities and BAs. Must assess risks to ePHI.</t>
  </si>
  <si>
    <t xml:space="preserve">Document risk analysis results; implement risk management programme; review periodically</t>
  </si>
  <si>
    <t xml:space="preserve">PCI-DSS v4.0</t>
  </si>
  <si>
    <t xml:space="preserve">Req 12.3 — targeted risk analysis for each PCI DSS requirement. Annual enterprise risk assessment for all card-data processing entities.</t>
  </si>
  <si>
    <t xml:space="preserve">Annual formal risk assessment; document risk-based decisions; QSA review</t>
  </si>
  <si>
    <t xml:space="preserve">GDPR (Article 32)</t>
  </si>
  <si>
    <t xml:space="preserve">Requires Data Controllers to implement appropriate technical/organisational measures. DPIA required for high-risk processing.</t>
  </si>
  <si>
    <t xml:space="preserve">Data Protection Impact Assessment; document risk levels; appoint DPO if required</t>
  </si>
  <si>
    <t xml:space="preserve">ISO/IEC 27001:2022</t>
  </si>
  <si>
    <t xml:space="preserve">Clause 6.1.2 mandates information security risk assessment. Annex A provides 93 controls. Certification requires documented risk register.</t>
  </si>
  <si>
    <t xml:space="preserve">Define risk criteria; identify/analyse/evaluate risks; maintain documented risk register</t>
  </si>
  <si>
    <t xml:space="preserve">SOX (Section 404)</t>
  </si>
  <si>
    <t xml:space="preserve">Management must assess and report on effectiveness of internal controls over financial reporting. IT general controls (ITGC) are in scope.</t>
  </si>
  <si>
    <t xml:space="preserve">Document ITGC risk assessment; test controls; external auditor attestation</t>
  </si>
  <si>
    <t xml:space="preserve">NIST SP 800-30 Rev.1</t>
  </si>
  <si>
    <t xml:space="preserve">Provides guidance for conducting risk assessments of federal information systems. Three-tier approach: org, mission, IS levels.</t>
  </si>
  <si>
    <t xml:space="preserve">Prepare for assessment; conduct assessment; communicate results; maintain assessment</t>
  </si>
  <si>
    <t xml:space="preserve">CCPA / CPRA</t>
  </si>
  <si>
    <t xml:space="preserve">California law requiring risk assessments for high-risk processing of consumer personal information. Annual submission to AG.</t>
  </si>
  <si>
    <t xml:space="preserve">Conduct cybersecurity audits and risk assessments; document consumer data flows</t>
  </si>
  <si>
    <t xml:space="preserve">NY DFS Cybersecurity Regulation</t>
  </si>
  <si>
    <t xml:space="preserve">23 NYCRR 500 — Covered financial institutions must conduct annual penetration testing and risk assessments.</t>
  </si>
  <si>
    <t xml:space="preserve">Annual risk assessment; identify nonpublic information risks; document in writing</t>
  </si>
  <si>
    <t xml:space="preserve">IT RISK ASSESSMENT  ·  Phase 3: Information Asset Inventory (IAI)</t>
  </si>
  <si>
    <t xml:space="preserve">Catalogue all IT assets. Assign Criticality based on CIA impact. This inventory feeds directly into risk identification and scoring.</t>
  </si>
  <si>
    <t xml:space="preserve">ID</t>
  </si>
  <si>
    <t xml:space="preserve">Asset Name</t>
  </si>
  <si>
    <t xml:space="preserve">Asset Type</t>
  </si>
  <si>
    <t xml:space="preserve">Business Owner</t>
  </si>
  <si>
    <t xml:space="preserve">IT Owner</t>
  </si>
  <si>
    <t xml:space="preserve">Criticality</t>
  </si>
  <si>
    <t xml:space="preserve">Info Classification</t>
  </si>
  <si>
    <t xml:space="preserve">Applicable Regulation</t>
  </si>
  <si>
    <t xml:space="preserve">Risk Sensitivity</t>
  </si>
  <si>
    <t xml:space="preserve">A-001</t>
  </si>
  <si>
    <t xml:space="preserve">Patient Portal</t>
  </si>
  <si>
    <t xml:space="preserve">Application</t>
  </si>
  <si>
    <t xml:space="preserve">Chief Medical Officer</t>
  </si>
  <si>
    <t xml:space="preserve">IT Department</t>
  </si>
  <si>
    <t xml:space="preserve">Critical</t>
  </si>
  <si>
    <t xml:space="preserve">PHI / PII</t>
  </si>
  <si>
    <t xml:space="preserve">HIPAA</t>
  </si>
  <si>
    <t xml:space="preserve">High</t>
  </si>
  <si>
    <t xml:space="preserve">A-002</t>
  </si>
  <si>
    <t xml:space="preserve">AWS Production Environment</t>
  </si>
  <si>
    <t xml:space="preserve">Infrastructure</t>
  </si>
  <si>
    <t xml:space="preserve">CTO</t>
  </si>
  <si>
    <t xml:space="preserve">DevOps Team</t>
  </si>
  <si>
    <t xml:space="preserve">All Data Tiers</t>
  </si>
  <si>
    <t xml:space="preserve">SOC2 / PCI</t>
  </si>
  <si>
    <t xml:space="preserve">A-003</t>
  </si>
  <si>
    <t xml:space="preserve">HR Database (Workday)</t>
  </si>
  <si>
    <t xml:space="preserve">Data Asset</t>
  </si>
  <si>
    <t xml:space="preserve">HR Manager</t>
  </si>
  <si>
    <t xml:space="preserve">PII / Payroll</t>
  </si>
  <si>
    <t xml:space="preserve">GDPR / SOX</t>
  </si>
  <si>
    <t xml:space="preserve">A-004</t>
  </si>
  <si>
    <t xml:space="preserve">CRM System (Salesforce)</t>
  </si>
  <si>
    <t xml:space="preserve">VP Sales</t>
  </si>
  <si>
    <t xml:space="preserve">Customer PII</t>
  </si>
  <si>
    <t xml:space="preserve">GDPR / CCPA</t>
  </si>
  <si>
    <t xml:space="preserve">Moderate</t>
  </si>
  <si>
    <t xml:space="preserve">A-005</t>
  </si>
  <si>
    <t xml:space="preserve">Corporate Firewall (Palo Alto)</t>
  </si>
  <si>
    <t xml:space="preserve">CISO</t>
  </si>
  <si>
    <t xml:space="preserve">Network Team</t>
  </si>
  <si>
    <t xml:space="preserve">Network Traffic</t>
  </si>
  <si>
    <t xml:space="preserve">PCI-DSS</t>
  </si>
  <si>
    <t xml:space="preserve">A-006</t>
  </si>
  <si>
    <t xml:space="preserve">3rd Party MSP</t>
  </si>
  <si>
    <t xml:space="preserve">Vendor</t>
  </si>
  <si>
    <t xml:space="preserve">Vendor Manager</t>
  </si>
  <si>
    <t xml:space="preserve">All Systems</t>
  </si>
  <si>
    <t xml:space="preserve">ISO 27001</t>
  </si>
  <si>
    <t xml:space="preserve">A-007</t>
  </si>
  <si>
    <t xml:space="preserve">Payment Gateway (Stripe)</t>
  </si>
  <si>
    <t xml:space="preserve">CFO</t>
  </si>
  <si>
    <t xml:space="preserve">Finance IT</t>
  </si>
  <si>
    <t xml:space="preserve">Card Data (PCI)</t>
  </si>
  <si>
    <t xml:space="preserve">A-008</t>
  </si>
  <si>
    <t xml:space="preserve">Office 365 / Exchange</t>
  </si>
  <si>
    <t xml:space="preserve">IT Director</t>
  </si>
  <si>
    <t xml:space="preserve">Email / Documents</t>
  </si>
  <si>
    <t xml:space="preserve">GDPR</t>
  </si>
  <si>
    <t xml:space="preserve">A-009</t>
  </si>
  <si>
    <t xml:space="preserve">Data Warehouse (Snowflake)</t>
  </si>
  <si>
    <t xml:space="preserve">Data Team</t>
  </si>
  <si>
    <t xml:space="preserve">Analytics Data</t>
  </si>
  <si>
    <t xml:space="preserve">A-010</t>
  </si>
  <si>
    <t xml:space="preserve">Corporate HQ Facility</t>
  </si>
  <si>
    <t xml:space="preserve">Facility</t>
  </si>
  <si>
    <t xml:space="preserve">Facilities Mgr</t>
  </si>
  <si>
    <t xml:space="preserve">Physical Security</t>
  </si>
  <si>
    <t xml:space="preserve">Medium</t>
  </si>
  <si>
    <t xml:space="preserve">Physical Access</t>
  </si>
  <si>
    <t xml:space="preserve">N/A</t>
  </si>
  <si>
    <t xml:space="preserve">Low</t>
  </si>
  <si>
    <t xml:space="preserve">A-011</t>
  </si>
  <si>
    <t xml:space="preserve">Development Environment</t>
  </si>
  <si>
    <t xml:space="preserve">Environment</t>
  </si>
  <si>
    <t xml:space="preserve">Dev/Test Data</t>
  </si>
  <si>
    <t xml:space="preserve">Internal</t>
  </si>
  <si>
    <t xml:space="preserve">A-012</t>
  </si>
  <si>
    <t xml:space="preserve">VPN Gateway (Cisco)</t>
  </si>
  <si>
    <t xml:space="preserve">Remote Access</t>
  </si>
  <si>
    <t xml:space="preserve">PCI-DSS / ISO</t>
  </si>
  <si>
    <t xml:space="preserve">A-013</t>
  </si>
  <si>
    <t xml:space="preserve">Active Directory / IAM</t>
  </si>
  <si>
    <t xml:space="preserve">Identity &amp; Access</t>
  </si>
  <si>
    <t xml:space="preserve">All Regulations</t>
  </si>
  <si>
    <t xml:space="preserve">A-014</t>
  </si>
  <si>
    <t xml:space="preserve">Backup &amp; DR Systems</t>
  </si>
  <si>
    <t xml:space="preserve">All Data</t>
  </si>
  <si>
    <t xml:space="preserve">Business Continuity</t>
  </si>
  <si>
    <t xml:space="preserve">A-015</t>
  </si>
  <si>
    <t xml:space="preserve">Customer Web Portal</t>
  </si>
  <si>
    <t xml:space="preserve">CMO</t>
  </si>
  <si>
    <t xml:space="preserve">Web Team</t>
  </si>
  <si>
    <t xml:space="preserve">IT RISK ASSESSMENT  ·  Phase 5: Likelihood / Probability Matrix</t>
  </si>
  <si>
    <t xml:space="preserve">Use this table to assign a Likelihood score (1–5) to each identified risk.</t>
  </si>
  <si>
    <t xml:space="preserve">Score</t>
  </si>
  <si>
    <t xml:space="preserve">Rating</t>
  </si>
  <si>
    <t xml:space="preserve">Criteria / Frequency of Observable Events</t>
  </si>
  <si>
    <t xml:space="preserve">Data Sources to Estimate</t>
  </si>
  <si>
    <t xml:space="preserve">Example</t>
  </si>
  <si>
    <t xml:space="preserve">Almost Certain</t>
  </si>
  <si>
    <t xml:space="preserve">Weekly or monthly occurrence. Well-known, broadly exploited technique.</t>
  </si>
  <si>
    <t xml:space="preserve">SIEM alerts, threat intel feeds, vendor advisories</t>
  </si>
  <si>
    <t xml:space="preserve">Phishing campaign hitting inbox daily — employees clicking links monthly</t>
  </si>
  <si>
    <t xml:space="preserve">Likely</t>
  </si>
  <si>
    <t xml:space="preserve">Has occurred within last 6 months within the organisation or similar sector.</t>
  </si>
  <si>
    <t xml:space="preserve">Incident tickets, pen test reports, news sources</t>
  </si>
  <si>
    <t xml:space="preserve">SQL injection attempts detected on web app every quarter</t>
  </si>
  <si>
    <t xml:space="preserve">Possible</t>
  </si>
  <si>
    <t xml:space="preserve">Has occurred at least once per year in the organisation or industry.</t>
  </si>
  <si>
    <t xml:space="preserve">Annual pen test, audit reports, threat intel</t>
  </si>
  <si>
    <t xml:space="preserve">Password spray attack recorded in Active Directory logs</t>
  </si>
  <si>
    <t xml:space="preserve">Unlikely</t>
  </si>
  <si>
    <t xml:space="preserve">Has never occurred in this organisation, but has occurred in peer organisations.</t>
  </si>
  <si>
    <t xml:space="preserve">Industry threat reports, ISAC alerts, CVE databases</t>
  </si>
  <si>
    <t xml:space="preserve">Insider sabotage — rare but documented in financial sector</t>
  </si>
  <si>
    <t xml:space="preserve">Rare</t>
  </si>
  <si>
    <t xml:space="preserve">Theoretically possible; no known occurrence in any comparable organisation.</t>
  </si>
  <si>
    <t xml:space="preserve">Academic research, NIST CVE database, zero-day disclosures</t>
  </si>
  <si>
    <t xml:space="preserve">Nation-state zero-day targeting this specific niche system</t>
  </si>
  <si>
    <t xml:space="preserve">IT RISK ASSESSMENT  ·  Phase 5: Impact Matrix (CIA Triad)</t>
  </si>
  <si>
    <t xml:space="preserve">Assess the Confidentiality, Integrity, and Availability impact for each identified risk. Assign the highest CIA score as the final Impact score.</t>
  </si>
  <si>
    <t xml:space="preserve">Severity</t>
  </si>
  <si>
    <t xml:space="preserve">Confidentiality Impact</t>
  </si>
  <si>
    <t xml:space="preserve">Integrity Impact</t>
  </si>
  <si>
    <t xml:space="preserve">Availability Impact</t>
  </si>
  <si>
    <t xml:space="preserve">Negligible</t>
  </si>
  <si>
    <t xml:space="preserve">No disclosure of confidential data; fully contained internally</t>
  </si>
  <si>
    <t xml:space="preserve">No data altered; no detectable change</t>
  </si>
  <si>
    <t xml:space="preserve">No downtime; fully operational</t>
  </si>
  <si>
    <t xml:space="preserve">Very Low</t>
  </si>
  <si>
    <t xml:space="preserve">&lt; 5 records exposed internally; no proof of exploitation</t>
  </si>
  <si>
    <t xml:space="preserve">&lt; 5 transaction records altered in a correctable manner</t>
  </si>
  <si>
    <t xml:space="preserve">System offline &lt; 4 hours; no customer impact</t>
  </si>
  <si>
    <t xml:space="preserve">5–10 records exposed; limited internal visibility</t>
  </si>
  <si>
    <t xml:space="preserve">5–10 transactions modified; minor correctable impact</t>
  </si>
  <si>
    <t xml:space="preserve">System offline 1–2 days; limited customer impact</t>
  </si>
  <si>
    <t xml:space="preserve">Minor</t>
  </si>
  <si>
    <t xml:space="preserve">10–20 records potentially disclosed; no external exposure</t>
  </si>
  <si>
    <t xml:space="preserve">10–20 transactions corrupted; correctable with effort</t>
  </si>
  <si>
    <t xml:space="preserve">System offline 3–5 days; some customers affected</t>
  </si>
  <si>
    <t xml:space="preserve">20–50 records compromised; possible external exposure</t>
  </si>
  <si>
    <t xml:space="preserve">20–50 transactions corrupted; significant investigation needed</t>
  </si>
  <si>
    <t xml:space="preserve">Customer-facing system offline 1 week; revenue impact</t>
  </si>
  <si>
    <t xml:space="preserve">Significant</t>
  </si>
  <si>
    <t xml:space="preserve">50–100 records disclosed to external/unauthorised parties</t>
  </si>
  <si>
    <t xml:space="preserve">50–100 transactions corrupted; financial loss occurs</t>
  </si>
  <si>
    <t xml:space="preserve">Multiple systems offline 2 weeks; major revenue loss</t>
  </si>
  <si>
    <t xml:space="preserve">Major</t>
  </si>
  <si>
    <t xml:space="preserve">100+ records disclosed; regulatory notification triggered</t>
  </si>
  <si>
    <t xml:space="preserve">100+ transactions corrupted; audit trail compromised</t>
  </si>
  <si>
    <t xml:space="preserve">Critical system offline 1 month; business continuity risk</t>
  </si>
  <si>
    <t xml:space="preserve">Mass disclosure of PII/PHI/PAN; press coverage likely</t>
  </si>
  <si>
    <t xml:space="preserve">Core financial/medical records corrupted; systems unreliable</t>
  </si>
  <si>
    <t xml:space="preserve">Critical infrastructure offline 1+ month; operations halt</t>
  </si>
  <si>
    <t xml:space="preserve">Catastrophic</t>
  </si>
  <si>
    <t xml:space="preserve">Full dataset disclosed publicly; regulatory sanctions; class action</t>
  </si>
  <si>
    <t xml:space="preserve">Complete data integrity failure; all records suspect; business risk</t>
  </si>
  <si>
    <t xml:space="preserve">All critical systems offline indefinitely; business survival risk</t>
  </si>
  <si>
    <t xml:space="preserve">IT RISK ASSESSMENT  ·  Phase 6–7: Cybersecurity Risk Register</t>
  </si>
  <si>
    <t xml:space="preserve">Risk Score = Likelihood (1–5) × Impact (1–9)  |  LOW: 0–&lt;10  |  MEDIUM: 10–&lt;20  |  HIGH: 20–&lt;35  |  CRITICAL: 35–45</t>
  </si>
  <si>
    <t xml:space="preserve">Risk Category</t>
  </si>
  <si>
    <t xml:space="preserve">Risk Description</t>
  </si>
  <si>
    <t xml:space="preserve">Threat Source</t>
  </si>
  <si>
    <t xml:space="preserve">Likelihood
(1–5)</t>
  </si>
  <si>
    <t xml:space="preserve">Impact
(1–9)</t>
  </si>
  <si>
    <t xml:space="preserve">Risk
Score</t>
  </si>
  <si>
    <t xml:space="preserve">Vulnerability / Observation</t>
  </si>
  <si>
    <t xml:space="preserve">Current Control Effectiveness</t>
  </si>
  <si>
    <t xml:space="preserve">Control Recommendation</t>
  </si>
  <si>
    <t xml:space="preserve">Risk Response</t>
  </si>
  <si>
    <t xml:space="preserve">Risk Owner</t>
  </si>
  <si>
    <t xml:space="preserve">R-001</t>
  </si>
  <si>
    <t xml:space="preserve">Cyber</t>
  </si>
  <si>
    <t xml:space="preserve">Unauthorized disclosure of customer PII via targeted phishing campaign</t>
  </si>
  <si>
    <t xml:space="preserve">External Attacker</t>
  </si>
  <si>
    <t xml:space="preserve">No phishing simulation training; legacy email filtering; users lack security awareness</t>
  </si>
  <si>
    <t xml:space="preserve">Not Effective</t>
  </si>
  <si>
    <t xml:space="preserve">1) Deploy advanced email filtering (Proofpoint/Defender)
2) Monthly phishing simulation training
3) Enforce MFA on all email accounts</t>
  </si>
  <si>
    <t xml:space="preserve">Mitigate</t>
  </si>
  <si>
    <t xml:space="preserve">Open</t>
  </si>
  <si>
    <t xml:space="preserve">R-002</t>
  </si>
  <si>
    <t xml:space="preserve">Ransomware deployment on unpatched production servers via known CVE</t>
  </si>
  <si>
    <t xml:space="preserve">Patch management process inadequate; 60-day+ lag on critical patches; no EDR on servers</t>
  </si>
  <si>
    <t xml:space="preserve">1) Implement 7-day SLA for critical patches
2) Deploy EDR (CrowdStrike/SentinelOne) on all servers
3) Offline backups tested quarterly</t>
  </si>
  <si>
    <t xml:space="preserve">In Progress</t>
  </si>
  <si>
    <t xml:space="preserve">R-003</t>
  </si>
  <si>
    <t xml:space="preserve">Third Party</t>
  </si>
  <si>
    <t xml:space="preserve">3rd-party CRM vendor suffers data breach exposing customer records</t>
  </si>
  <si>
    <t xml:space="preserve">External / Vendor</t>
  </si>
  <si>
    <t xml:space="preserve">No vendor risk assessment; SLA lacks breach notification clause; no right-to-audit</t>
  </si>
  <si>
    <t xml:space="preserve">1) Conduct vendor risk assessment
2) Add breach liability and notification clauses to SLA
3) Request SOC2 Type II report annually</t>
  </si>
  <si>
    <t xml:space="preserve">Transfer</t>
  </si>
  <si>
    <t xml:space="preserve">R-004</t>
  </si>
  <si>
    <t xml:space="preserve">Insider</t>
  </si>
  <si>
    <t xml:space="preserve">Terminated employee retains access and exfiltrates sensitive data</t>
  </si>
  <si>
    <t xml:space="preserve">Insider Threat</t>
  </si>
  <si>
    <t xml:space="preserve">No automated deprovisioning process; access reviews done annually only; no DLP solution</t>
  </si>
  <si>
    <t xml:space="preserve">1) Automate deprovisioning via HR-IT workflow
2) Implement DLP solution for email and cloud storage
3) Quarterly access reviews</t>
  </si>
  <si>
    <t xml:space="preserve">HR / CISO</t>
  </si>
  <si>
    <t xml:space="preserve">R-005</t>
  </si>
  <si>
    <t xml:space="preserve">Operational</t>
  </si>
  <si>
    <t xml:space="preserve">Expired SSL/TLS certificate causes customer portal outage</t>
  </si>
  <si>
    <t xml:space="preserve">Process Gap</t>
  </si>
  <si>
    <t xml:space="preserve">Certificate lifecycle not managed centrally; no automated renewal alerts</t>
  </si>
  <si>
    <t xml:space="preserve">Partially Effective</t>
  </si>
  <si>
    <t xml:space="preserve">1) Implement certificate lifecycle management tool
2) Set 60-day expiry alerts
3) Assign certificate owner per domain</t>
  </si>
  <si>
    <t xml:space="preserve">Resolved</t>
  </si>
  <si>
    <t xml:space="preserve">R-006</t>
  </si>
  <si>
    <t xml:space="preserve">Website defacement via low-sophistication attack on CMS</t>
  </si>
  <si>
    <t xml:space="preserve">Script Kiddie</t>
  </si>
  <si>
    <t xml:space="preserve">CMS (WordPress) plugins not updated; no WAF in place</t>
  </si>
  <si>
    <t xml:space="preserve">1) Deploy WAF (Cloudflare/AWS)
2) Enable auto-updates on CMS plugins
3) Harden server config</t>
  </si>
  <si>
    <t xml:space="preserve">Accept</t>
  </si>
  <si>
    <t xml:space="preserve">Accepted</t>
  </si>
  <si>
    <t xml:space="preserve">R-007</t>
  </si>
  <si>
    <t xml:space="preserve">Compliance</t>
  </si>
  <si>
    <t xml:space="preserve">Failure to renew PCI-DSS certification results in card processing suspension</t>
  </si>
  <si>
    <t xml:space="preserve">Regulatory</t>
  </si>
  <si>
    <t xml:space="preserve">No formal PCI compliance calendar; remediation timeline not tracked</t>
  </si>
  <si>
    <t xml:space="preserve">1) Assign dedicated PCI compliance owner
2) Track remediation on compliance calendar
3) Engage QSA 6 months before audit</t>
  </si>
  <si>
    <t xml:space="preserve">CISO / CFO</t>
  </si>
  <si>
    <t xml:space="preserve">R-008</t>
  </si>
  <si>
    <t xml:space="preserve">Physical</t>
  </si>
  <si>
    <t xml:space="preserve">Unauthorized physical access to server room leading to hardware theft</t>
  </si>
  <si>
    <t xml:space="preserve">Physical Attacker</t>
  </si>
  <si>
    <t xml:space="preserve">Badge access logs not reviewed; no CCTV in server room; tailgating not prevented</t>
  </si>
  <si>
    <t xml:space="preserve">1) Install CCTV in server room
2) Review access logs monthly
3) Implement mantrap / anti-tailgate controls</t>
  </si>
  <si>
    <t xml:space="preserve">Facilities / IT</t>
  </si>
  <si>
    <t xml:space="preserve">R-009</t>
  </si>
  <si>
    <t xml:space="preserve">SQL injection attack on customer-facing web application</t>
  </si>
  <si>
    <t xml:space="preserve">No WAF; last penetration test was 2 years ago; developer security training absent</t>
  </si>
  <si>
    <t xml:space="preserve">1) Deploy WAF with OWASP top-10 ruleset
2) Annual pen test + DAST scanning
3) Developer secure coding training</t>
  </si>
  <si>
    <t xml:space="preserve">CISO / Dev Team</t>
  </si>
  <si>
    <t xml:space="preserve">R-010</t>
  </si>
  <si>
    <t xml:space="preserve">Credential stuffing attack on customer login portal</t>
  </si>
  <si>
    <t xml:space="preserve">No rate limiting on login API; no bot detection; MFA optional not enforced</t>
  </si>
  <si>
    <t xml:space="preserve">1) Enforce MFA for all customer accounts
2) Implement CAPTCHA and rate limiting
3) Monitor for anomalous login patterns</t>
  </si>
  <si>
    <t xml:space="preserve">Web / Security</t>
  </si>
  <si>
    <t xml:space="preserve">R-011</t>
  </si>
  <si>
    <t xml:space="preserve">Business email compromise (BEC) leads to fraudulent wire transfer</t>
  </si>
  <si>
    <t xml:space="preserve">Social Engineering</t>
  </si>
  <si>
    <t xml:space="preserve">No dual-approval for wire transfers; CFO email not on advanced threat protection</t>
  </si>
  <si>
    <t xml:space="preserve">1) Mandatory dual approval for transfers &gt;$10K
2) Advanced email threat protection (ATP)
3) Finance team BEC awareness training</t>
  </si>
  <si>
    <t xml:space="preserve">CFO / CISO</t>
  </si>
  <si>
    <t xml:space="preserve">R-012</t>
  </si>
  <si>
    <t xml:space="preserve">Cloud provider outage (AWS/Azure) causes extended downtime</t>
  </si>
  <si>
    <t xml:space="preserve">Natural / Technical</t>
  </si>
  <si>
    <t xml:space="preserve">No multi-region failover; DR plan not tested in 18 months; RTO/RPO not defined</t>
  </si>
  <si>
    <t xml:space="preserve">1) Define and test RTO/RPO targets
2) Implement cross-region failover for critical systems
3) Annual DR drill</t>
  </si>
  <si>
    <t xml:space="preserve">IT RISK ASSESSMENT  ·  Phase 6: Risk Heat Map (Probability × Impact)</t>
  </si>
  <si>
    <t xml:space="preserve">← IMPACT →</t>
  </si>
  <si>
    <t xml:space="preserve">LEGEND</t>
  </si>
  <si>
    <t xml:space="preserve">Very Low (1-2)</t>
  </si>
  <si>
    <t xml:space="preserve">Low (3-4)</t>
  </si>
  <si>
    <t xml:space="preserve">Medium (5-6)</t>
  </si>
  <si>
    <t xml:space="preserve">High (7-8)</t>
  </si>
  <si>
    <t xml:space="preserve">Very High (9)</t>
  </si>
  <si>
    <t xml:space="preserve">Certain (5)</t>
  </si>
  <si>
    <t xml:space="preserve">Likely (4)</t>
  </si>
  <si>
    <t xml:space="preserve">Possible (3)</t>
  </si>
  <si>
    <t xml:space="preserve">Unlikely (2)</t>
  </si>
  <si>
    <t xml:space="preserve">Rare (1)</t>
  </si>
  <si>
    <t xml:space="preserve">RISK REGISTER SUMMARY (from Sheet 6_Risk_Register)</t>
  </si>
  <si>
    <t xml:space="preserve">Risk ID</t>
  </si>
  <si>
    <t xml:space="preserve">Likelihood</t>
  </si>
  <si>
    <t xml:space="preserve">Impact</t>
  </si>
  <si>
    <t xml:space="preserve">Risk Score</t>
  </si>
  <si>
    <t xml:space="preserve">Risk Rating</t>
  </si>
  <si>
    <t xml:space="preserve">Response</t>
  </si>
  <si>
    <t xml:space="preserve">Unauthorised PII disclosure via phishing</t>
  </si>
  <si>
    <t xml:space="preserve">32</t>
  </si>
  <si>
    <t xml:space="preserve">HIGH</t>
  </si>
  <si>
    <t xml:space="preserve">Ransomware on unpatched servers</t>
  </si>
  <si>
    <t xml:space="preserve">27</t>
  </si>
  <si>
    <t xml:space="preserve">PCI-DSS certification failure</t>
  </si>
  <si>
    <t xml:space="preserve">24</t>
  </si>
  <si>
    <t xml:space="preserve">SQL injection on web application</t>
  </si>
  <si>
    <t xml:space="preserve">21</t>
  </si>
  <si>
    <t xml:space="preserve">Business email compromise (BEC)</t>
  </si>
  <si>
    <t xml:space="preserve">3rd-party CRM vendor breach</t>
  </si>
  <si>
    <t xml:space="preserve">18</t>
  </si>
  <si>
    <t xml:space="preserve">MEDIUM</t>
  </si>
  <si>
    <t xml:space="preserve">Terminated employee data exfiltration</t>
  </si>
  <si>
    <t xml:space="preserve">Credential stuffing on login portal</t>
  </si>
  <si>
    <t xml:space="preserve">Unauthorised physical server room access</t>
  </si>
  <si>
    <t xml:space="preserve">Cloud provider outage causing downtime</t>
  </si>
  <si>
    <t xml:space="preserve">Expired SSL cert on customer portal</t>
  </si>
  <si>
    <t xml:space="preserve">Website defacement — low sophistication</t>
  </si>
  <si>
    <t xml:space="preserve">LOW</t>
  </si>
  <si>
    <t xml:space="preserve">IT RISK ASSESSMENT  ·  Phase 8: Risk Summary Dashboard</t>
  </si>
  <si>
    <t xml:space="preserve">ASSESSMENT SUMMARY</t>
  </si>
  <si>
    <t xml:space="preserve">RISK BREAKDOWN BY CATEGORY</t>
  </si>
  <si>
    <t xml:space="preserve">Assessment Date</t>
  </si>
  <si>
    <t xml:space="preserve">March 1–31, 2025</t>
  </si>
  <si>
    <t xml:space="preserve">Category</t>
  </si>
  <si>
    <t xml:space="preserve">Organisation</t>
  </si>
  <si>
    <t xml:space="preserve">[Enter Organisation Name]</t>
  </si>
  <si>
    <t xml:space="preserve">Scope</t>
  </si>
  <si>
    <t xml:space="preserve">Production systems, CRM, web domain</t>
  </si>
  <si>
    <t xml:space="preserve">0</t>
  </si>
  <si>
    <t xml:space="preserve">Total Assets Identified</t>
  </si>
  <si>
    <t xml:space="preserve">Total Risks Identified</t>
  </si>
  <si>
    <t xml:space="preserve">CRITICAL Risks</t>
  </si>
  <si>
    <t xml:space="preserve">HIGH Risks</t>
  </si>
  <si>
    <t xml:space="preserve">MEDIUM Risks</t>
  </si>
  <si>
    <t xml:space="preserve">LOW Risks</t>
  </si>
  <si>
    <t xml:space="preserve">Risks Pending Treatment</t>
  </si>
  <si>
    <t xml:space="preserve">Risks Accepted</t>
  </si>
  <si>
    <t xml:space="preserve">Risks Resolved</t>
  </si>
  <si>
    <t xml:space="preserve">RISK MONITORING CADENCE</t>
  </si>
  <si>
    <t xml:space="preserve">Frequency</t>
  </si>
  <si>
    <t xml:space="preserve">Activity</t>
  </si>
  <si>
    <t xml:space="preserve">Owner</t>
  </si>
  <si>
    <t xml:space="preserve">Next Due</t>
  </si>
  <si>
    <t xml:space="preserve">Daily</t>
  </si>
  <si>
    <t xml:space="preserve">Monitor SIEM alerts, CVEs, threat intel, incident tickets</t>
  </si>
  <si>
    <t xml:space="preserve">SOC / Security Team</t>
  </si>
  <si>
    <t xml:space="preserve">Every Business Day</t>
  </si>
  <si>
    <t xml:space="preserve">Active</t>
  </si>
  <si>
    <t xml:space="preserve">Weekly</t>
  </si>
  <si>
    <t xml:space="preserve">Review open risk items; check control effectiveness; update statuses</t>
  </si>
  <si>
    <t xml:space="preserve">CISO / Risk Manager</t>
  </si>
  <si>
    <t xml:space="preserve">Every Monday</t>
  </si>
  <si>
    <t xml:space="preserve">Monthly</t>
  </si>
  <si>
    <t xml:space="preserve">Management review; escalate HIGH/CRITICAL; update risk owners</t>
  </si>
  <si>
    <t xml:space="preserve">CISO + Leadership</t>
  </si>
  <si>
    <t xml:space="preserve">First Monday of Month</t>
  </si>
  <si>
    <t xml:space="preserve">Quarterly</t>
  </si>
  <si>
    <t xml:space="preserve">Full register update; compliance status; board risk dashboard</t>
  </si>
  <si>
    <t xml:space="preserve">CISO + Board</t>
  </si>
  <si>
    <t xml:space="preserve">Next: June 30, 2025</t>
  </si>
  <si>
    <t xml:space="preserve">Annually</t>
  </si>
  <si>
    <t xml:space="preserve">Full risk re-assessment; policy review; framework re-alignment</t>
  </si>
  <si>
    <t xml:space="preserve">CISO + External Auditor</t>
  </si>
  <si>
    <t xml:space="preserve">Next: March 2026</t>
  </si>
  <si>
    <t xml:space="preserve">IT RISK ASSESSMENT  ·  Phase 7: Risk Treatment &amp; Remediation Plan</t>
  </si>
  <si>
    <t xml:space="preserve">For each risk, assign a treatment strategy (Mitigate / Transfer / Accept / Avoid), define controls, set deadlines, and assign ownership.</t>
  </si>
  <si>
    <t xml:space="preserve">Recommended Controls / Actions</t>
  </si>
  <si>
    <t xml:space="preserve">Treatment Strategy</t>
  </si>
  <si>
    <t xml:space="preserve">Target Date</t>
  </si>
  <si>
    <t xml:space="preserve">Residual Risk</t>
  </si>
  <si>
    <t xml:space="preserve">1) Advanced email filtering (Proofpoint)
2) Monthly phishing simulation
3) MFA on all email accounts</t>
  </si>
  <si>
    <t xml:space="preserve">30 days</t>
  </si>
  <si>
    <t xml:space="preserve">1) 7-day critical patch SLA
2) EDR on all servers (CrowdStrike)
3) Tested offline backups</t>
  </si>
  <si>
    <t xml:space="preserve">1) Assign PCI compliance owner
2) Track on compliance calendar
3) Engage QSA 6 months early</t>
  </si>
  <si>
    <t xml:space="preserve">60 days</t>
  </si>
  <si>
    <t xml:space="preserve">SQL injection on web app</t>
  </si>
  <si>
    <t xml:space="preserve">1) WAF with OWASP ruleset
2) Annual pen test + DAST
3) Dev secure coding training</t>
  </si>
  <si>
    <t xml:space="preserve">CISO / Dev</t>
  </si>
  <si>
    <t xml:space="preserve">45 days</t>
  </si>
  <si>
    <t xml:space="preserve">1) Enforce MFA all customers
2) CAPTCHA + rate limiting
3) Anomalous login monitoring</t>
  </si>
  <si>
    <t xml:space="preserve">1) Dual approval for transfers &gt;$10K
2) ATP on all finance email
3) BEC awareness training</t>
  </si>
  <si>
    <t xml:space="preserve">1) Vendor risk assessment
2) Breach notification SLA clause
3) Annual SOC2 Type II request</t>
  </si>
  <si>
    <t xml:space="preserve">90 days</t>
  </si>
  <si>
    <t xml:space="preserve">Terminated employee data leak</t>
  </si>
  <si>
    <t xml:space="preserve">1) Automated deprovisioning
2) DLP solution for email/cloud
3) Quarterly access reviews</t>
  </si>
  <si>
    <t xml:space="preserve">Physical server room access</t>
  </si>
  <si>
    <t xml:space="preserve">1) CCTV in server room
2) Monthly access log review
3) Mantrap / anti-tailgate</t>
  </si>
  <si>
    <t xml:space="preserve">Cloud provider outage</t>
  </si>
  <si>
    <t xml:space="preserve">1) Define and test RTO/RPO
2) Cross-region failover
3) Annual DR drill</t>
  </si>
  <si>
    <t xml:space="preserve">120 days</t>
  </si>
  <si>
    <t xml:space="preserve">Expired SSL cert</t>
  </si>
  <si>
    <t xml:space="preserve">1) Certificate lifecycle tool
2) 60-day expiry alerts
3) Assign cert owner per domain</t>
  </si>
  <si>
    <t xml:space="preserve">Complete</t>
  </si>
  <si>
    <t xml:space="preserve">Website defacement</t>
  </si>
  <si>
    <t xml:space="preserve">Monitor with WAF alerts; review annually; formal acceptance signed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</si>
</sst>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10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334155"/>
      <name val="Calibri"/>
      <family val="0"/>
      <charset val="1"/>
    </font>
    <font>
      <sz val="10"/>
      <color rgb="FF1E293B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1"/>
      <color rgb="FF16A34A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EA580C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1"/>
      <color rgb="FF334155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0"/>
      <color rgb="FF0B1D3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C2410C"/>
      <name val="Calibri"/>
      <family val="0"/>
      <charset val="1"/>
    </font>
    <font>
      <b val="true"/>
      <sz val="10"/>
      <color rgb="FFA16207"/>
      <name val="Calibri"/>
      <family val="0"/>
      <charset val="1"/>
    </font>
    <font>
      <b val="true"/>
      <sz val="10"/>
      <color rgb="FF166534"/>
      <name val="Calibri"/>
      <family val="0"/>
      <charset val="1"/>
    </font>
    <font>
      <sz val="11"/>
      <color rgb="FF33415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B1D3A"/>
        <bgColor rgb="FF1E293B"/>
      </patternFill>
    </fill>
    <fill>
      <patternFill patternType="solid">
        <fgColor rgb="FFEBF5FB"/>
        <bgColor rgb="FFF1F5F9"/>
      </patternFill>
    </fill>
    <fill>
      <patternFill patternType="solid">
        <fgColor rgb="FF0891B2"/>
        <bgColor rgb="FF008080"/>
      </patternFill>
    </fill>
    <fill>
      <patternFill patternType="solid">
        <fgColor rgb="FFF1F5F9"/>
        <bgColor rgb="FFEBF5FB"/>
      </patternFill>
    </fill>
    <fill>
      <patternFill patternType="solid">
        <fgColor rgb="FFFFFFFF"/>
        <bgColor rgb="FFF9F9F9"/>
      </patternFill>
    </fill>
    <fill>
      <patternFill patternType="solid">
        <fgColor rgb="FF5B8DCD"/>
        <bgColor rgb="FF4F81BD"/>
      </patternFill>
    </fill>
    <fill>
      <patternFill patternType="solid">
        <fgColor rgb="FFF59E0B"/>
        <bgColor rgb="FFF87171"/>
      </patternFill>
    </fill>
    <fill>
      <patternFill patternType="solid">
        <fgColor rgb="FFFEE2E2"/>
        <bgColor rgb="FFFFEDD5"/>
      </patternFill>
    </fill>
    <fill>
      <patternFill patternType="solid">
        <fgColor rgb="FFFEF3C7"/>
        <bgColor rgb="FFFFEDD5"/>
      </patternFill>
    </fill>
    <fill>
      <patternFill patternType="solid">
        <fgColor rgb="FFDCFCE7"/>
        <bgColor rgb="FFD1FAE5"/>
      </patternFill>
    </fill>
    <fill>
      <patternFill patternType="solid">
        <fgColor rgb="FFEA580C"/>
        <bgColor rgb="FFC2410C"/>
      </patternFill>
    </fill>
    <fill>
      <patternFill patternType="solid">
        <fgColor rgb="FFB91C1C"/>
        <bgColor rgb="FFDC2626"/>
      </patternFill>
    </fill>
    <fill>
      <patternFill patternType="solid">
        <fgColor rgb="FFC2410C"/>
        <bgColor rgb="FFC0504D"/>
      </patternFill>
    </fill>
    <fill>
      <patternFill patternType="solid">
        <fgColor rgb="FFA16207"/>
        <bgColor rgb="FFC2410C"/>
      </patternFill>
    </fill>
    <fill>
      <patternFill patternType="solid">
        <fgColor rgb="FF166534"/>
        <bgColor rgb="FF14532D"/>
      </patternFill>
    </fill>
    <fill>
      <patternFill patternType="solid">
        <fgColor rgb="FF14532D"/>
        <bgColor rgb="FF166534"/>
      </patternFill>
    </fill>
    <fill>
      <patternFill patternType="solid">
        <fgColor rgb="FFDC2626"/>
        <bgColor rgb="FFB91C1C"/>
      </patternFill>
    </fill>
    <fill>
      <patternFill patternType="solid">
        <fgColor rgb="FFECFDF5"/>
        <bgColor rgb="FFF0FDF4"/>
      </patternFill>
    </fill>
    <fill>
      <patternFill patternType="solid">
        <fgColor rgb="FFD1FAE5"/>
        <bgColor rgb="FFDCFCE7"/>
      </patternFill>
    </fill>
    <fill>
      <patternFill patternType="solid">
        <fgColor rgb="FFA7F3D0"/>
        <bgColor rgb="FFD1FAE5"/>
      </patternFill>
    </fill>
    <fill>
      <patternFill patternType="solid">
        <fgColor rgb="FF6EE7B7"/>
        <bgColor rgb="FFA7F3D0"/>
      </patternFill>
    </fill>
    <fill>
      <patternFill patternType="solid">
        <fgColor rgb="FFFDE68A"/>
        <bgColor rgb="FFFEF3C7"/>
      </patternFill>
    </fill>
    <fill>
      <patternFill patternType="solid">
        <fgColor rgb="FFFCA5A5"/>
        <bgColor rgb="FFF87171"/>
      </patternFill>
    </fill>
    <fill>
      <patternFill patternType="solid">
        <fgColor rgb="FFF87171"/>
        <bgColor rgb="FFEA580C"/>
      </patternFill>
    </fill>
    <fill>
      <patternFill patternType="solid">
        <fgColor rgb="FF9333EA"/>
        <bgColor rgb="FF8064A2"/>
      </patternFill>
    </fill>
    <fill>
      <patternFill patternType="solid">
        <fgColor rgb="FF334155"/>
        <bgColor rgb="FF1E293B"/>
      </patternFill>
    </fill>
    <fill>
      <patternFill patternType="solid">
        <fgColor rgb="FF7F1D1D"/>
        <bgColor rgb="FF800000"/>
      </patternFill>
    </fill>
    <fill>
      <patternFill patternType="solid">
        <fgColor rgb="FF16A34A"/>
        <bgColor rgb="FF008080"/>
      </patternFill>
    </fill>
    <fill>
      <patternFill patternType="solid">
        <fgColor rgb="FFFFEDD5"/>
        <bgColor rgb="FFFEF3C7"/>
      </patternFill>
    </fill>
    <fill>
      <patternFill patternType="solid">
        <fgColor rgb="FFF0FDF4"/>
        <bgColor rgb="FFECFD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/>
      <top style="thin">
        <color rgb="FF94A3B8"/>
      </top>
      <bottom style="thin">
        <color rgb="FF94A3B8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0FDF4"/>
      <rgbColor rgb="FFFF00FF"/>
      <rgbColor rgb="FFEBF5FB"/>
      <rgbColor rgb="FFC2410C"/>
      <rgbColor rgb="FF166534"/>
      <rgbColor rgb="FF000080"/>
      <rgbColor rgb="FFA16207"/>
      <rgbColor rgb="FF9333EA"/>
      <rgbColor rgb="FF0891B2"/>
      <rgbColor rgb="FFFFEDD5"/>
      <rgbColor rgb="FF878787"/>
      <rgbColor rgb="FF5B8DCD"/>
      <rgbColor rgb="FFC0504D"/>
      <rgbColor rgb="FFFEF3C7"/>
      <rgbColor rgb="FFDCFCE7"/>
      <rgbColor rgb="FF660066"/>
      <rgbColor rgb="FFF87171"/>
      <rgbColor rgb="FF0066CC"/>
      <rgbColor rgb="FFD9D9D9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B4A6"/>
      <rgbColor rgb="FFECFDF5"/>
      <rgbColor rgb="FFD1FAE5"/>
      <rgbColor rgb="FFFDE68A"/>
      <rgbColor rgb="FFA7F3D0"/>
      <rgbColor rgb="FFFCA5A5"/>
      <rgbColor rgb="FF8064A2"/>
      <rgbColor rgb="FFFEE2E2"/>
      <rgbColor rgb="FF4F81BD"/>
      <rgbColor rgb="FF6EE7B7"/>
      <rgbColor rgb="FF9BBB59"/>
      <rgbColor rgb="FFF1F5F9"/>
      <rgbColor rgb="FFF59E0B"/>
      <rgbColor rgb="FFEA580C"/>
      <rgbColor rgb="FF64748B"/>
      <rgbColor rgb="FF94A3B8"/>
      <rgbColor rgb="FF0B1D3A"/>
      <rgbColor rgb="FF16A34A"/>
      <rgbColor rgb="FF14532D"/>
      <rgbColor rgb="FF333300"/>
      <rgbColor rgb="FF7F1D1D"/>
      <rgbColor rgb="FFB91C1C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Count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8_Risk_Dashboard!F4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8_Risk_Dashboard!$E$5:$E$10</c:f>
              <c:strCache>
                <c:ptCount val="6"/>
                <c:pt idx="0">
                  <c:v>Cyber</c:v>
                </c:pt>
                <c:pt idx="1">
                  <c:v>Third Party</c:v>
                </c:pt>
                <c:pt idx="2">
                  <c:v>Insider</c:v>
                </c:pt>
                <c:pt idx="3">
                  <c:v>Compliance</c:v>
                </c:pt>
                <c:pt idx="4">
                  <c:v>Operational</c:v>
                </c:pt>
                <c:pt idx="5">
                  <c:v>Physical</c:v>
                </c:pt>
              </c:strCache>
            </c:strRef>
          </c:cat>
          <c:val>
            <c:numRef>
              <c:f>8_Risk_Dashboard!$F$5:$F$10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8_Risk_Dashboard!G4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8_Risk_Dashboard!$E$5:$E$10</c:f>
              <c:strCache>
                <c:ptCount val="6"/>
                <c:pt idx="0">
                  <c:v>Cyber</c:v>
                </c:pt>
                <c:pt idx="1">
                  <c:v>Third Party</c:v>
                </c:pt>
                <c:pt idx="2">
                  <c:v>Insider</c:v>
                </c:pt>
                <c:pt idx="3">
                  <c:v>Compliance</c:v>
                </c:pt>
                <c:pt idx="4">
                  <c:v>Operational</c:v>
                </c:pt>
                <c:pt idx="5">
                  <c:v>Physical</c:v>
                </c:pt>
              </c:strCache>
            </c:strRef>
          </c:cat>
          <c:val>
            <c:numRef>
              <c:f>8_Risk_Dashboard!$G$5:$G$10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8_Risk_Dashboard!H4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8_Risk_Dashboard!$E$5:$E$10</c:f>
              <c:strCache>
                <c:ptCount val="6"/>
                <c:pt idx="0">
                  <c:v>Cyber</c:v>
                </c:pt>
                <c:pt idx="1">
                  <c:v>Third Party</c:v>
                </c:pt>
                <c:pt idx="2">
                  <c:v>Insider</c:v>
                </c:pt>
                <c:pt idx="3">
                  <c:v>Compliance</c:v>
                </c:pt>
                <c:pt idx="4">
                  <c:v>Operational</c:v>
                </c:pt>
                <c:pt idx="5">
                  <c:v>Physical</c:v>
                </c:pt>
              </c:strCache>
            </c:strRef>
          </c:cat>
          <c:val>
            <c:numRef>
              <c:f>8_Risk_Dashboard!$H$5:$H$10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8_Risk_Dashboard!I4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8_Risk_Dashboard!$E$5:$E$10</c:f>
              <c:strCache>
                <c:ptCount val="6"/>
                <c:pt idx="0">
                  <c:v>Cyber</c:v>
                </c:pt>
                <c:pt idx="1">
                  <c:v>Third Party</c:v>
                </c:pt>
                <c:pt idx="2">
                  <c:v>Insider</c:v>
                </c:pt>
                <c:pt idx="3">
                  <c:v>Compliance</c:v>
                </c:pt>
                <c:pt idx="4">
                  <c:v>Operational</c:v>
                </c:pt>
                <c:pt idx="5">
                  <c:v>Physical</c:v>
                </c:pt>
              </c:strCache>
            </c:strRef>
          </c:cat>
          <c:val>
            <c:numRef>
              <c:f>8_Risk_Dashboard!$I$5:$I$10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54466683"/>
        <c:axId val="524725"/>
      </c:barChart>
      <c:catAx>
        <c:axId val="54466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725"/>
        <c:crosses val="autoZero"/>
        <c:auto val="1"/>
        <c:lblAlgn val="ctr"/>
        <c:lblOffset val="100"/>
        <c:noMultiLvlLbl val="0"/>
      </c:catAx>
      <c:valAx>
        <c:axId val="524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66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981720</xdr:colOff>
      <xdr:row>43</xdr:row>
      <xdr:rowOff>170640</xdr:rowOff>
    </xdr:to>
    <xdr:graphicFrame>
      <xdr:nvGraphicFramePr>
        <xdr:cNvPr id="0" name="Chart 1"/>
        <xdr:cNvGraphicFramePr/>
      </xdr:nvGraphicFramePr>
      <xdr:xfrm>
        <a:off x="211320" y="64008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891B2"/>
    <pageSetUpPr fitToPage="false"/>
  </sheetPr>
  <dimension ref="B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30" hidden="false" customHeight="true" outlineLevel="0" collapsed="false">
      <c r="B1" s="1" t="s">
        <v>0</v>
      </c>
      <c r="C1" s="1"/>
      <c r="D1" s="1"/>
    </row>
    <row r="2" customFormat="false" ht="18" hidden="false" customHeight="true" outlineLevel="0" collapsed="false">
      <c r="B2" s="2" t="s">
        <v>1</v>
      </c>
      <c r="C2" s="2"/>
      <c r="D2" s="2"/>
    </row>
    <row r="3" customFormat="false" ht="19.5" hidden="false" customHeight="true" outlineLevel="0" collapsed="false"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21.75" hidden="false" customHeight="true" outlineLevel="0" collapsed="false">
      <c r="B4" s="4" t="s">
        <v>6</v>
      </c>
      <c r="C4" s="5" t="s">
        <v>7</v>
      </c>
      <c r="D4" s="6"/>
      <c r="E4" s="7" t="s">
        <v>8</v>
      </c>
    </row>
    <row r="5" customFormat="false" ht="21.75" hidden="false" customHeight="true" outlineLevel="0" collapsed="false">
      <c r="B5" s="4" t="s">
        <v>9</v>
      </c>
      <c r="C5" s="8" t="s">
        <v>10</v>
      </c>
      <c r="D5" s="9"/>
      <c r="E5" s="7" t="s">
        <v>8</v>
      </c>
    </row>
    <row r="6" customFormat="false" ht="21.75" hidden="false" customHeight="true" outlineLevel="0" collapsed="false">
      <c r="B6" s="4" t="s">
        <v>11</v>
      </c>
      <c r="C6" s="5" t="s">
        <v>12</v>
      </c>
      <c r="D6" s="6"/>
      <c r="E6" s="7" t="s">
        <v>8</v>
      </c>
    </row>
    <row r="7" customFormat="false" ht="21.75" hidden="false" customHeight="true" outlineLevel="0" collapsed="false">
      <c r="B7" s="4" t="s">
        <v>13</v>
      </c>
      <c r="C7" s="8" t="s">
        <v>14</v>
      </c>
      <c r="D7" s="9"/>
      <c r="E7" s="7" t="s">
        <v>8</v>
      </c>
    </row>
    <row r="8" customFormat="false" ht="21.75" hidden="false" customHeight="true" outlineLevel="0" collapsed="false">
      <c r="B8" s="4" t="s">
        <v>15</v>
      </c>
      <c r="C8" s="5" t="s">
        <v>16</v>
      </c>
      <c r="D8" s="6"/>
      <c r="E8" s="7" t="s">
        <v>8</v>
      </c>
    </row>
    <row r="9" customFormat="false" ht="21.75" hidden="false" customHeight="true" outlineLevel="0" collapsed="false">
      <c r="B9" s="4" t="s">
        <v>17</v>
      </c>
      <c r="C9" s="8" t="s">
        <v>18</v>
      </c>
      <c r="D9" s="9"/>
      <c r="E9" s="7" t="s">
        <v>8</v>
      </c>
    </row>
    <row r="10" customFormat="false" ht="21.75" hidden="false" customHeight="true" outlineLevel="0" collapsed="false">
      <c r="B10" s="4" t="s">
        <v>19</v>
      </c>
      <c r="C10" s="5" t="s">
        <v>20</v>
      </c>
      <c r="D10" s="6"/>
      <c r="E10" s="7" t="s">
        <v>8</v>
      </c>
    </row>
    <row r="11" customFormat="false" ht="21.75" hidden="false" customHeight="true" outlineLevel="0" collapsed="false">
      <c r="B11" s="4" t="s">
        <v>21</v>
      </c>
      <c r="C11" s="8" t="s">
        <v>22</v>
      </c>
      <c r="D11" s="9"/>
      <c r="E11" s="7" t="s">
        <v>8</v>
      </c>
    </row>
    <row r="12" customFormat="false" ht="21.75" hidden="false" customHeight="true" outlineLevel="0" collapsed="false">
      <c r="B12" s="4" t="s">
        <v>23</v>
      </c>
      <c r="C12" s="5" t="s">
        <v>24</v>
      </c>
      <c r="D12" s="6"/>
      <c r="E12" s="7" t="s">
        <v>8</v>
      </c>
    </row>
    <row r="13" customFormat="false" ht="21.75" hidden="false" customHeight="true" outlineLevel="0" collapsed="false">
      <c r="B13" s="4" t="s">
        <v>25</v>
      </c>
      <c r="C13" s="8" t="s">
        <v>26</v>
      </c>
      <c r="D13" s="9"/>
      <c r="E13" s="7" t="s">
        <v>8</v>
      </c>
    </row>
    <row r="14" customFormat="false" ht="21.75" hidden="false" customHeight="true" outlineLevel="0" collapsed="false">
      <c r="B14" s="4" t="s">
        <v>27</v>
      </c>
      <c r="C14" s="5" t="s">
        <v>28</v>
      </c>
      <c r="D14" s="6"/>
      <c r="E14" s="7" t="s">
        <v>8</v>
      </c>
    </row>
    <row r="15" customFormat="false" ht="21.75" hidden="false" customHeight="true" outlineLevel="0" collapsed="false">
      <c r="B15" s="4" t="s">
        <v>29</v>
      </c>
      <c r="C15" s="8" t="s">
        <v>30</v>
      </c>
      <c r="D15" s="9"/>
      <c r="E15" s="7" t="s">
        <v>8</v>
      </c>
    </row>
    <row r="16" customFormat="false" ht="21.75" hidden="false" customHeight="true" outlineLevel="0" collapsed="false">
      <c r="B16" s="4" t="s">
        <v>31</v>
      </c>
      <c r="C16" s="5" t="s">
        <v>32</v>
      </c>
      <c r="D16" s="6"/>
      <c r="E16" s="7" t="s">
        <v>8</v>
      </c>
    </row>
    <row r="17" customFormat="false" ht="21.75" hidden="false" customHeight="true" outlineLevel="0" collapsed="false">
      <c r="B17" s="4" t="s">
        <v>33</v>
      </c>
      <c r="C17" s="8" t="s">
        <v>34</v>
      </c>
      <c r="D17" s="9"/>
      <c r="E17" s="7" t="s">
        <v>8</v>
      </c>
    </row>
    <row r="18" customFormat="false" ht="21.75" hidden="false" customHeight="true" outlineLevel="0" collapsed="false">
      <c r="B18" s="4" t="s">
        <v>35</v>
      </c>
      <c r="C18" s="5" t="s">
        <v>36</v>
      </c>
      <c r="D18" s="6"/>
      <c r="E18" s="7" t="s">
        <v>8</v>
      </c>
    </row>
    <row r="19" customFormat="false" ht="21.75" hidden="false" customHeight="true" outlineLevel="0" collapsed="false">
      <c r="B19" s="4" t="s">
        <v>37</v>
      </c>
      <c r="C19" s="8" t="s">
        <v>38</v>
      </c>
      <c r="D19" s="9"/>
      <c r="E19" s="7" t="s">
        <v>8</v>
      </c>
    </row>
    <row r="20" customFormat="false" ht="21.75" hidden="false" customHeight="true" outlineLevel="0" collapsed="false">
      <c r="B20" s="4" t="s">
        <v>39</v>
      </c>
      <c r="C20" s="5" t="s">
        <v>40</v>
      </c>
      <c r="D20" s="6"/>
      <c r="E20" s="7" t="s">
        <v>8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8DCD"/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30" hidden="false" customHeight="true" outlineLevel="0" collapsed="false">
      <c r="B1" s="1" t="s">
        <v>41</v>
      </c>
      <c r="C1" s="1"/>
      <c r="D1" s="1"/>
      <c r="E1" s="1"/>
      <c r="F1" s="1"/>
    </row>
    <row r="2" customFormat="false" ht="18" hidden="false" customHeight="true" outlineLevel="0" collapsed="false">
      <c r="B2" s="2" t="s">
        <v>42</v>
      </c>
      <c r="C2" s="2"/>
      <c r="D2" s="2"/>
      <c r="E2" s="2"/>
      <c r="F2" s="2"/>
    </row>
    <row r="3" customFormat="false" ht="19.5" hidden="false" customHeight="true" outlineLevel="0" collapsed="false">
      <c r="B3" s="10" t="s">
        <v>2</v>
      </c>
      <c r="C3" s="10" t="s">
        <v>43</v>
      </c>
      <c r="D3" s="10" t="s">
        <v>44</v>
      </c>
      <c r="E3" s="10" t="s">
        <v>45</v>
      </c>
      <c r="F3" s="10" t="s">
        <v>46</v>
      </c>
    </row>
    <row r="4" customFormat="false" ht="37.5" hidden="false" customHeight="true" outlineLevel="0" collapsed="false">
      <c r="B4" s="11" t="s">
        <v>6</v>
      </c>
      <c r="C4" s="12" t="s">
        <v>47</v>
      </c>
      <c r="D4" s="13" t="s">
        <v>48</v>
      </c>
      <c r="E4" s="13" t="s">
        <v>49</v>
      </c>
      <c r="F4" s="14" t="s">
        <v>50</v>
      </c>
    </row>
    <row r="5" customFormat="false" ht="37.5" hidden="false" customHeight="true" outlineLevel="0" collapsed="false">
      <c r="B5" s="15" t="s">
        <v>9</v>
      </c>
      <c r="C5" s="16" t="s">
        <v>51</v>
      </c>
      <c r="D5" s="17" t="s">
        <v>52</v>
      </c>
      <c r="E5" s="17" t="s">
        <v>53</v>
      </c>
      <c r="F5" s="18" t="s">
        <v>50</v>
      </c>
    </row>
    <row r="6" customFormat="false" ht="37.5" hidden="false" customHeight="true" outlineLevel="0" collapsed="false">
      <c r="B6" s="11" t="s">
        <v>11</v>
      </c>
      <c r="C6" s="12" t="s">
        <v>54</v>
      </c>
      <c r="D6" s="13" t="s">
        <v>55</v>
      </c>
      <c r="E6" s="13" t="s">
        <v>56</v>
      </c>
      <c r="F6" s="14" t="s">
        <v>50</v>
      </c>
    </row>
    <row r="7" customFormat="false" ht="37.5" hidden="false" customHeight="true" outlineLevel="0" collapsed="false">
      <c r="B7" s="15" t="s">
        <v>13</v>
      </c>
      <c r="C7" s="16" t="s">
        <v>57</v>
      </c>
      <c r="D7" s="17" t="s">
        <v>58</v>
      </c>
      <c r="E7" s="17" t="s">
        <v>59</v>
      </c>
      <c r="F7" s="18" t="s">
        <v>50</v>
      </c>
    </row>
    <row r="8" customFormat="false" ht="37.5" hidden="false" customHeight="true" outlineLevel="0" collapsed="false">
      <c r="B8" s="11" t="s">
        <v>15</v>
      </c>
      <c r="C8" s="12" t="s">
        <v>60</v>
      </c>
      <c r="D8" s="13" t="s">
        <v>61</v>
      </c>
      <c r="E8" s="13" t="s">
        <v>62</v>
      </c>
      <c r="F8" s="14" t="s">
        <v>50</v>
      </c>
    </row>
    <row r="9" customFormat="false" ht="37.5" hidden="false" customHeight="true" outlineLevel="0" collapsed="false">
      <c r="B9" s="15" t="s">
        <v>17</v>
      </c>
      <c r="C9" s="16" t="s">
        <v>63</v>
      </c>
      <c r="D9" s="17" t="s">
        <v>64</v>
      </c>
      <c r="E9" s="17" t="s">
        <v>65</v>
      </c>
      <c r="F9" s="18" t="s">
        <v>50</v>
      </c>
    </row>
    <row r="10" customFormat="false" ht="37.5" hidden="false" customHeight="true" outlineLevel="0" collapsed="false">
      <c r="B10" s="11" t="s">
        <v>19</v>
      </c>
      <c r="C10" s="12" t="s">
        <v>66</v>
      </c>
      <c r="D10" s="13" t="s">
        <v>67</v>
      </c>
      <c r="E10" s="13" t="s">
        <v>68</v>
      </c>
      <c r="F10" s="14" t="s">
        <v>50</v>
      </c>
    </row>
    <row r="11" customFormat="false" ht="37.5" hidden="false" customHeight="true" outlineLevel="0" collapsed="false">
      <c r="B11" s="15" t="s">
        <v>21</v>
      </c>
      <c r="C11" s="16" t="s">
        <v>69</v>
      </c>
      <c r="D11" s="17" t="s">
        <v>70</v>
      </c>
      <c r="E11" s="17" t="s">
        <v>71</v>
      </c>
      <c r="F11" s="18" t="s">
        <v>50</v>
      </c>
    </row>
    <row r="12" customFormat="false" ht="37.5" hidden="false" customHeight="true" outlineLevel="0" collapsed="false">
      <c r="B12" s="11" t="s">
        <v>23</v>
      </c>
      <c r="C12" s="12" t="s">
        <v>72</v>
      </c>
      <c r="D12" s="13" t="s">
        <v>73</v>
      </c>
      <c r="E12" s="13" t="s">
        <v>74</v>
      </c>
      <c r="F12" s="14" t="s">
        <v>50</v>
      </c>
    </row>
    <row r="13" customFormat="false" ht="37.5" hidden="false" customHeight="true" outlineLevel="0" collapsed="false">
      <c r="B13" s="15" t="s">
        <v>25</v>
      </c>
      <c r="C13" s="16" t="s">
        <v>75</v>
      </c>
      <c r="D13" s="17" t="s">
        <v>76</v>
      </c>
      <c r="E13" s="17" t="s">
        <v>77</v>
      </c>
      <c r="F13" s="18" t="s">
        <v>50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10" min="9" style="0" width="14"/>
  </cols>
  <sheetData>
    <row r="1" customFormat="false" ht="30" hidden="false" customHeight="true" outlineLevel="0" collapsed="false">
      <c r="B1" s="1" t="s">
        <v>78</v>
      </c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B2" s="2" t="s">
        <v>79</v>
      </c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B3" s="19" t="s">
        <v>80</v>
      </c>
      <c r="C3" s="19" t="s">
        <v>81</v>
      </c>
      <c r="D3" s="19" t="s">
        <v>82</v>
      </c>
      <c r="E3" s="19" t="s">
        <v>83</v>
      </c>
      <c r="F3" s="19" t="s">
        <v>84</v>
      </c>
      <c r="G3" s="19" t="s">
        <v>85</v>
      </c>
      <c r="H3" s="19" t="s">
        <v>86</v>
      </c>
      <c r="I3" s="19" t="s">
        <v>87</v>
      </c>
      <c r="J3" s="19" t="s">
        <v>88</v>
      </c>
    </row>
    <row r="4" customFormat="false" ht="19.5" hidden="false" customHeight="true" outlineLevel="0" collapsed="false">
      <c r="B4" s="20" t="s">
        <v>89</v>
      </c>
      <c r="C4" s="21" t="s">
        <v>90</v>
      </c>
      <c r="D4" s="13" t="s">
        <v>91</v>
      </c>
      <c r="E4" s="13" t="s">
        <v>92</v>
      </c>
      <c r="F4" s="13" t="s">
        <v>93</v>
      </c>
      <c r="G4" s="22" t="s">
        <v>94</v>
      </c>
      <c r="H4" s="13" t="s">
        <v>95</v>
      </c>
      <c r="I4" s="13" t="s">
        <v>96</v>
      </c>
      <c r="J4" s="13" t="s">
        <v>97</v>
      </c>
    </row>
    <row r="5" customFormat="false" ht="19.5" hidden="false" customHeight="true" outlineLevel="0" collapsed="false">
      <c r="B5" s="23" t="s">
        <v>98</v>
      </c>
      <c r="C5" s="24" t="s">
        <v>99</v>
      </c>
      <c r="D5" s="17" t="s">
        <v>100</v>
      </c>
      <c r="E5" s="17" t="s">
        <v>101</v>
      </c>
      <c r="F5" s="17" t="s">
        <v>102</v>
      </c>
      <c r="G5" s="22" t="s">
        <v>94</v>
      </c>
      <c r="H5" s="17" t="s">
        <v>103</v>
      </c>
      <c r="I5" s="17" t="s">
        <v>104</v>
      </c>
      <c r="J5" s="17" t="s">
        <v>97</v>
      </c>
    </row>
    <row r="6" customFormat="false" ht="19.5" hidden="false" customHeight="true" outlineLevel="0" collapsed="false">
      <c r="B6" s="20" t="s">
        <v>105</v>
      </c>
      <c r="C6" s="21" t="s">
        <v>106</v>
      </c>
      <c r="D6" s="13" t="s">
        <v>107</v>
      </c>
      <c r="E6" s="13" t="s">
        <v>108</v>
      </c>
      <c r="F6" s="13" t="s">
        <v>93</v>
      </c>
      <c r="G6" s="25" t="s">
        <v>97</v>
      </c>
      <c r="H6" s="13" t="s">
        <v>109</v>
      </c>
      <c r="I6" s="13" t="s">
        <v>110</v>
      </c>
      <c r="J6" s="13" t="s">
        <v>97</v>
      </c>
    </row>
    <row r="7" customFormat="false" ht="19.5" hidden="false" customHeight="true" outlineLevel="0" collapsed="false">
      <c r="B7" s="23" t="s">
        <v>111</v>
      </c>
      <c r="C7" s="24" t="s">
        <v>112</v>
      </c>
      <c r="D7" s="17" t="s">
        <v>91</v>
      </c>
      <c r="E7" s="17" t="s">
        <v>113</v>
      </c>
      <c r="F7" s="17" t="s">
        <v>93</v>
      </c>
      <c r="G7" s="25" t="s">
        <v>97</v>
      </c>
      <c r="H7" s="17" t="s">
        <v>114</v>
      </c>
      <c r="I7" s="17" t="s">
        <v>115</v>
      </c>
      <c r="J7" s="17" t="s">
        <v>116</v>
      </c>
    </row>
    <row r="8" customFormat="false" ht="19.5" hidden="false" customHeight="true" outlineLevel="0" collapsed="false">
      <c r="B8" s="20" t="s">
        <v>117</v>
      </c>
      <c r="C8" s="21" t="s">
        <v>118</v>
      </c>
      <c r="D8" s="13" t="s">
        <v>100</v>
      </c>
      <c r="E8" s="13" t="s">
        <v>119</v>
      </c>
      <c r="F8" s="13" t="s">
        <v>120</v>
      </c>
      <c r="G8" s="22" t="s">
        <v>94</v>
      </c>
      <c r="H8" s="13" t="s">
        <v>121</v>
      </c>
      <c r="I8" s="13" t="s">
        <v>122</v>
      </c>
      <c r="J8" s="13" t="s">
        <v>97</v>
      </c>
    </row>
    <row r="9" customFormat="false" ht="19.5" hidden="false" customHeight="true" outlineLevel="0" collapsed="false">
      <c r="B9" s="23" t="s">
        <v>123</v>
      </c>
      <c r="C9" s="24" t="s">
        <v>124</v>
      </c>
      <c r="D9" s="17" t="s">
        <v>125</v>
      </c>
      <c r="E9" s="17" t="s">
        <v>119</v>
      </c>
      <c r="F9" s="17" t="s">
        <v>126</v>
      </c>
      <c r="G9" s="25" t="s">
        <v>97</v>
      </c>
      <c r="H9" s="17" t="s">
        <v>127</v>
      </c>
      <c r="I9" s="17" t="s">
        <v>128</v>
      </c>
      <c r="J9" s="17" t="s">
        <v>97</v>
      </c>
    </row>
    <row r="10" customFormat="false" ht="19.5" hidden="false" customHeight="true" outlineLevel="0" collapsed="false">
      <c r="B10" s="20" t="s">
        <v>129</v>
      </c>
      <c r="C10" s="21" t="s">
        <v>130</v>
      </c>
      <c r="D10" s="13" t="s">
        <v>91</v>
      </c>
      <c r="E10" s="13" t="s">
        <v>131</v>
      </c>
      <c r="F10" s="13" t="s">
        <v>132</v>
      </c>
      <c r="G10" s="22" t="s">
        <v>94</v>
      </c>
      <c r="H10" s="13" t="s">
        <v>133</v>
      </c>
      <c r="I10" s="13" t="s">
        <v>122</v>
      </c>
      <c r="J10" s="13" t="s">
        <v>97</v>
      </c>
    </row>
    <row r="11" customFormat="false" ht="19.5" hidden="false" customHeight="true" outlineLevel="0" collapsed="false">
      <c r="B11" s="23" t="s">
        <v>134</v>
      </c>
      <c r="C11" s="24" t="s">
        <v>135</v>
      </c>
      <c r="D11" s="17" t="s">
        <v>91</v>
      </c>
      <c r="E11" s="17" t="s">
        <v>136</v>
      </c>
      <c r="F11" s="17" t="s">
        <v>93</v>
      </c>
      <c r="G11" s="25" t="s">
        <v>97</v>
      </c>
      <c r="H11" s="17" t="s">
        <v>137</v>
      </c>
      <c r="I11" s="17" t="s">
        <v>138</v>
      </c>
      <c r="J11" s="17" t="s">
        <v>116</v>
      </c>
    </row>
    <row r="12" customFormat="false" ht="19.5" hidden="false" customHeight="true" outlineLevel="0" collapsed="false">
      <c r="B12" s="20" t="s">
        <v>139</v>
      </c>
      <c r="C12" s="21" t="s">
        <v>140</v>
      </c>
      <c r="D12" s="13" t="s">
        <v>100</v>
      </c>
      <c r="E12" s="13" t="s">
        <v>101</v>
      </c>
      <c r="F12" s="13" t="s">
        <v>141</v>
      </c>
      <c r="G12" s="25" t="s">
        <v>97</v>
      </c>
      <c r="H12" s="13" t="s">
        <v>142</v>
      </c>
      <c r="I12" s="13" t="s">
        <v>110</v>
      </c>
      <c r="J12" s="13" t="s">
        <v>116</v>
      </c>
    </row>
    <row r="13" customFormat="false" ht="19.5" hidden="false" customHeight="true" outlineLevel="0" collapsed="false">
      <c r="B13" s="23" t="s">
        <v>143</v>
      </c>
      <c r="C13" s="24" t="s">
        <v>144</v>
      </c>
      <c r="D13" s="17" t="s">
        <v>145</v>
      </c>
      <c r="E13" s="17" t="s">
        <v>146</v>
      </c>
      <c r="F13" s="17" t="s">
        <v>147</v>
      </c>
      <c r="G13" s="26" t="s">
        <v>148</v>
      </c>
      <c r="H13" s="17" t="s">
        <v>149</v>
      </c>
      <c r="I13" s="17" t="s">
        <v>150</v>
      </c>
      <c r="J13" s="17" t="s">
        <v>151</v>
      </c>
    </row>
    <row r="14" customFormat="false" ht="19.5" hidden="false" customHeight="true" outlineLevel="0" collapsed="false">
      <c r="B14" s="20" t="s">
        <v>152</v>
      </c>
      <c r="C14" s="21" t="s">
        <v>153</v>
      </c>
      <c r="D14" s="13" t="s">
        <v>154</v>
      </c>
      <c r="E14" s="13" t="s">
        <v>101</v>
      </c>
      <c r="F14" s="13" t="s">
        <v>102</v>
      </c>
      <c r="G14" s="26" t="s">
        <v>148</v>
      </c>
      <c r="H14" s="13" t="s">
        <v>155</v>
      </c>
      <c r="I14" s="13" t="s">
        <v>156</v>
      </c>
      <c r="J14" s="13" t="s">
        <v>151</v>
      </c>
    </row>
    <row r="15" customFormat="false" ht="19.5" hidden="false" customHeight="true" outlineLevel="0" collapsed="false">
      <c r="B15" s="23" t="s">
        <v>157</v>
      </c>
      <c r="C15" s="24" t="s">
        <v>158</v>
      </c>
      <c r="D15" s="17" t="s">
        <v>100</v>
      </c>
      <c r="E15" s="17" t="s">
        <v>119</v>
      </c>
      <c r="F15" s="17" t="s">
        <v>120</v>
      </c>
      <c r="G15" s="22" t="s">
        <v>94</v>
      </c>
      <c r="H15" s="17" t="s">
        <v>159</v>
      </c>
      <c r="I15" s="17" t="s">
        <v>160</v>
      </c>
      <c r="J15" s="17" t="s">
        <v>97</v>
      </c>
    </row>
    <row r="16" customFormat="false" ht="19.5" hidden="false" customHeight="true" outlineLevel="0" collapsed="false">
      <c r="B16" s="20" t="s">
        <v>161</v>
      </c>
      <c r="C16" s="21" t="s">
        <v>162</v>
      </c>
      <c r="D16" s="13" t="s">
        <v>100</v>
      </c>
      <c r="E16" s="13" t="s">
        <v>119</v>
      </c>
      <c r="F16" s="13" t="s">
        <v>93</v>
      </c>
      <c r="G16" s="22" t="s">
        <v>94</v>
      </c>
      <c r="H16" s="13" t="s">
        <v>163</v>
      </c>
      <c r="I16" s="13" t="s">
        <v>164</v>
      </c>
      <c r="J16" s="13" t="s">
        <v>97</v>
      </c>
    </row>
    <row r="17" customFormat="false" ht="19.5" hidden="false" customHeight="true" outlineLevel="0" collapsed="false">
      <c r="B17" s="23" t="s">
        <v>165</v>
      </c>
      <c r="C17" s="24" t="s">
        <v>166</v>
      </c>
      <c r="D17" s="17" t="s">
        <v>100</v>
      </c>
      <c r="E17" s="17" t="s">
        <v>136</v>
      </c>
      <c r="F17" s="17" t="s">
        <v>93</v>
      </c>
      <c r="G17" s="25" t="s">
        <v>97</v>
      </c>
      <c r="H17" s="17" t="s">
        <v>167</v>
      </c>
      <c r="I17" s="17" t="s">
        <v>168</v>
      </c>
      <c r="J17" s="17" t="s">
        <v>97</v>
      </c>
    </row>
    <row r="18" customFormat="false" ht="19.5" hidden="false" customHeight="true" outlineLevel="0" collapsed="false">
      <c r="B18" s="20" t="s">
        <v>169</v>
      </c>
      <c r="C18" s="21" t="s">
        <v>170</v>
      </c>
      <c r="D18" s="13" t="s">
        <v>91</v>
      </c>
      <c r="E18" s="13" t="s">
        <v>171</v>
      </c>
      <c r="F18" s="13" t="s">
        <v>172</v>
      </c>
      <c r="G18" s="25" t="s">
        <v>97</v>
      </c>
      <c r="H18" s="13" t="s">
        <v>114</v>
      </c>
      <c r="I18" s="13" t="s">
        <v>115</v>
      </c>
      <c r="J18" s="13" t="s">
        <v>116</v>
      </c>
    </row>
  </sheetData>
  <mergeCells count="2">
    <mergeCell ref="B1:J1"/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580C"/>
    <pageSetUpPr fitToPage="false"/>
  </sheetPr>
  <dimension ref="B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30" hidden="false" customHeight="true" outlineLevel="0" collapsed="false">
      <c r="B1" s="1" t="s">
        <v>173</v>
      </c>
      <c r="C1" s="1"/>
      <c r="D1" s="1"/>
      <c r="E1" s="1"/>
      <c r="F1" s="1"/>
    </row>
    <row r="2" customFormat="false" ht="18" hidden="false" customHeight="true" outlineLevel="0" collapsed="false">
      <c r="B2" s="2" t="s">
        <v>174</v>
      </c>
      <c r="C2" s="2"/>
      <c r="D2" s="2"/>
      <c r="E2" s="2"/>
      <c r="F2" s="2"/>
    </row>
    <row r="3" customFormat="false" ht="19.5" hidden="false" customHeight="true" outlineLevel="0" collapsed="false">
      <c r="B3" s="27" t="s">
        <v>175</v>
      </c>
      <c r="C3" s="27" t="s">
        <v>176</v>
      </c>
      <c r="D3" s="27" t="s">
        <v>177</v>
      </c>
      <c r="E3" s="27" t="s">
        <v>178</v>
      </c>
      <c r="F3" s="27" t="s">
        <v>179</v>
      </c>
    </row>
    <row r="4" customFormat="false" ht="42" hidden="false" customHeight="true" outlineLevel="0" collapsed="false">
      <c r="B4" s="28" t="s">
        <v>15</v>
      </c>
      <c r="C4" s="29" t="s">
        <v>180</v>
      </c>
      <c r="D4" s="13" t="s">
        <v>181</v>
      </c>
      <c r="E4" s="13" t="s">
        <v>182</v>
      </c>
      <c r="F4" s="13" t="s">
        <v>183</v>
      </c>
    </row>
    <row r="5" customFormat="false" ht="42" hidden="false" customHeight="true" outlineLevel="0" collapsed="false">
      <c r="B5" s="30" t="s">
        <v>13</v>
      </c>
      <c r="C5" s="31" t="s">
        <v>184</v>
      </c>
      <c r="D5" s="17" t="s">
        <v>185</v>
      </c>
      <c r="E5" s="17" t="s">
        <v>186</v>
      </c>
      <c r="F5" s="17" t="s">
        <v>187</v>
      </c>
    </row>
    <row r="6" customFormat="false" ht="42" hidden="false" customHeight="true" outlineLevel="0" collapsed="false">
      <c r="B6" s="32" t="s">
        <v>11</v>
      </c>
      <c r="C6" s="29" t="s">
        <v>188</v>
      </c>
      <c r="D6" s="13" t="s">
        <v>189</v>
      </c>
      <c r="E6" s="13" t="s">
        <v>190</v>
      </c>
      <c r="F6" s="13" t="s">
        <v>191</v>
      </c>
    </row>
    <row r="7" customFormat="false" ht="42" hidden="false" customHeight="true" outlineLevel="0" collapsed="false">
      <c r="B7" s="33" t="s">
        <v>9</v>
      </c>
      <c r="C7" s="31" t="s">
        <v>192</v>
      </c>
      <c r="D7" s="17" t="s">
        <v>193</v>
      </c>
      <c r="E7" s="17" t="s">
        <v>194</v>
      </c>
      <c r="F7" s="17" t="s">
        <v>195</v>
      </c>
    </row>
    <row r="8" customFormat="false" ht="42" hidden="false" customHeight="true" outlineLevel="0" collapsed="false">
      <c r="B8" s="34" t="s">
        <v>6</v>
      </c>
      <c r="C8" s="29" t="s">
        <v>196</v>
      </c>
      <c r="D8" s="13" t="s">
        <v>197</v>
      </c>
      <c r="E8" s="13" t="s">
        <v>198</v>
      </c>
      <c r="F8" s="13" t="s">
        <v>199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B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6" min="4" style="0" width="28"/>
  </cols>
  <sheetData>
    <row r="1" customFormat="false" ht="30" hidden="false" customHeight="true" outlineLevel="0" collapsed="false">
      <c r="B1" s="1" t="s">
        <v>200</v>
      </c>
      <c r="C1" s="1"/>
      <c r="D1" s="1"/>
      <c r="E1" s="1"/>
      <c r="F1" s="1"/>
    </row>
    <row r="2" customFormat="false" ht="18" hidden="false" customHeight="true" outlineLevel="0" collapsed="false">
      <c r="B2" s="2" t="s">
        <v>201</v>
      </c>
      <c r="C2" s="2"/>
      <c r="D2" s="2"/>
      <c r="E2" s="2"/>
      <c r="F2" s="2"/>
    </row>
    <row r="3" customFormat="false" ht="19.5" hidden="false" customHeight="true" outlineLevel="0" collapsed="false">
      <c r="B3" s="35" t="s">
        <v>202</v>
      </c>
      <c r="C3" s="35" t="s">
        <v>175</v>
      </c>
      <c r="D3" s="35" t="s">
        <v>203</v>
      </c>
      <c r="E3" s="35" t="s">
        <v>204</v>
      </c>
      <c r="F3" s="35" t="s">
        <v>205</v>
      </c>
    </row>
    <row r="4" customFormat="false" ht="37.5" hidden="false" customHeight="true" outlineLevel="0" collapsed="false">
      <c r="B4" s="36" t="s">
        <v>206</v>
      </c>
      <c r="C4" s="36" t="s">
        <v>6</v>
      </c>
      <c r="D4" s="37" t="s">
        <v>207</v>
      </c>
      <c r="E4" s="37" t="s">
        <v>208</v>
      </c>
      <c r="F4" s="37" t="s">
        <v>209</v>
      </c>
    </row>
    <row r="5" customFormat="false" ht="37.5" hidden="false" customHeight="true" outlineLevel="0" collapsed="false">
      <c r="B5" s="38" t="s">
        <v>210</v>
      </c>
      <c r="C5" s="38" t="s">
        <v>9</v>
      </c>
      <c r="D5" s="39" t="s">
        <v>211</v>
      </c>
      <c r="E5" s="39" t="s">
        <v>212</v>
      </c>
      <c r="F5" s="39" t="s">
        <v>213</v>
      </c>
    </row>
    <row r="6" customFormat="false" ht="37.5" hidden="false" customHeight="true" outlineLevel="0" collapsed="false">
      <c r="B6" s="40" t="s">
        <v>151</v>
      </c>
      <c r="C6" s="40" t="s">
        <v>11</v>
      </c>
      <c r="D6" s="41" t="s">
        <v>214</v>
      </c>
      <c r="E6" s="41" t="s">
        <v>215</v>
      </c>
      <c r="F6" s="41" t="s">
        <v>216</v>
      </c>
    </row>
    <row r="7" customFormat="false" ht="37.5" hidden="false" customHeight="true" outlineLevel="0" collapsed="false">
      <c r="B7" s="42" t="s">
        <v>217</v>
      </c>
      <c r="C7" s="42" t="s">
        <v>13</v>
      </c>
      <c r="D7" s="43" t="s">
        <v>218</v>
      </c>
      <c r="E7" s="43" t="s">
        <v>219</v>
      </c>
      <c r="F7" s="43" t="s">
        <v>220</v>
      </c>
    </row>
    <row r="8" customFormat="false" ht="37.5" hidden="false" customHeight="true" outlineLevel="0" collapsed="false">
      <c r="B8" s="44" t="s">
        <v>116</v>
      </c>
      <c r="C8" s="44" t="s">
        <v>15</v>
      </c>
      <c r="D8" s="45" t="s">
        <v>221</v>
      </c>
      <c r="E8" s="45" t="s">
        <v>222</v>
      </c>
      <c r="F8" s="45" t="s">
        <v>223</v>
      </c>
    </row>
    <row r="9" customFormat="false" ht="37.5" hidden="false" customHeight="true" outlineLevel="0" collapsed="false">
      <c r="B9" s="46" t="s">
        <v>224</v>
      </c>
      <c r="C9" s="46" t="s">
        <v>17</v>
      </c>
      <c r="D9" s="47" t="s">
        <v>225</v>
      </c>
      <c r="E9" s="47" t="s">
        <v>226</v>
      </c>
      <c r="F9" s="47" t="s">
        <v>227</v>
      </c>
    </row>
    <row r="10" customFormat="false" ht="37.5" hidden="false" customHeight="true" outlineLevel="0" collapsed="false">
      <c r="B10" s="48" t="s">
        <v>228</v>
      </c>
      <c r="C10" s="48" t="s">
        <v>19</v>
      </c>
      <c r="D10" s="49" t="s">
        <v>229</v>
      </c>
      <c r="E10" s="49" t="s">
        <v>230</v>
      </c>
      <c r="F10" s="49" t="s">
        <v>231</v>
      </c>
    </row>
    <row r="11" customFormat="false" ht="37.5" hidden="false" customHeight="true" outlineLevel="0" collapsed="false">
      <c r="B11" s="50" t="s">
        <v>94</v>
      </c>
      <c r="C11" s="50" t="s">
        <v>21</v>
      </c>
      <c r="D11" s="51" t="s">
        <v>232</v>
      </c>
      <c r="E11" s="51" t="s">
        <v>233</v>
      </c>
      <c r="F11" s="51" t="s">
        <v>234</v>
      </c>
    </row>
    <row r="12" customFormat="false" ht="37.5" hidden="false" customHeight="true" outlineLevel="0" collapsed="false">
      <c r="B12" s="52" t="s">
        <v>235</v>
      </c>
      <c r="C12" s="52" t="s">
        <v>23</v>
      </c>
      <c r="D12" s="53" t="s">
        <v>236</v>
      </c>
      <c r="E12" s="53" t="s">
        <v>237</v>
      </c>
      <c r="F12" s="53" t="s">
        <v>238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333EA"/>
    <pageSetUpPr fitToPage="false"/>
  </sheetPr>
  <dimension ref="B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7" min="5" style="0" width="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2"/>
  </cols>
  <sheetData>
    <row r="1" customFormat="false" ht="30" hidden="false" customHeight="true" outlineLevel="0" collapsed="false">
      <c r="B1" s="1" t="s">
        <v>239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B2" s="54" t="s">
        <v>240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customFormat="false" ht="36" hidden="false" customHeight="true" outlineLevel="0" collapsed="false">
      <c r="B3" s="55" t="s">
        <v>80</v>
      </c>
      <c r="C3" s="55" t="s">
        <v>241</v>
      </c>
      <c r="D3" s="55" t="s">
        <v>242</v>
      </c>
      <c r="E3" s="55" t="s">
        <v>243</v>
      </c>
      <c r="F3" s="55" t="s">
        <v>244</v>
      </c>
      <c r="G3" s="55" t="s">
        <v>245</v>
      </c>
      <c r="H3" s="55" t="s">
        <v>246</v>
      </c>
      <c r="I3" s="55" t="s">
        <v>247</v>
      </c>
      <c r="J3" s="55" t="s">
        <v>248</v>
      </c>
      <c r="K3" s="55" t="s">
        <v>249</v>
      </c>
      <c r="L3" s="55" t="s">
        <v>250</v>
      </c>
      <c r="M3" s="55" t="s">
        <v>251</v>
      </c>
      <c r="N3" s="55" t="s">
        <v>5</v>
      </c>
    </row>
    <row r="4" customFormat="false" ht="49.5" hidden="false" customHeight="true" outlineLevel="0" collapsed="false">
      <c r="B4" s="11" t="s">
        <v>252</v>
      </c>
      <c r="C4" s="11" t="s">
        <v>253</v>
      </c>
      <c r="D4" s="13" t="s">
        <v>254</v>
      </c>
      <c r="E4" s="13" t="s">
        <v>255</v>
      </c>
      <c r="F4" s="29" t="s">
        <v>13</v>
      </c>
      <c r="G4" s="29" t="s">
        <v>21</v>
      </c>
      <c r="H4" s="56" t="n">
        <f aca="false">F4*G4</f>
        <v>32</v>
      </c>
      <c r="I4" s="13" t="s">
        <v>256</v>
      </c>
      <c r="J4" s="13" t="s">
        <v>257</v>
      </c>
      <c r="K4" s="13" t="s">
        <v>258</v>
      </c>
      <c r="L4" s="13" t="s">
        <v>259</v>
      </c>
      <c r="M4" s="13" t="s">
        <v>119</v>
      </c>
      <c r="N4" s="13" t="s">
        <v>260</v>
      </c>
    </row>
    <row r="5" customFormat="false" ht="49.5" hidden="false" customHeight="true" outlineLevel="0" collapsed="false">
      <c r="B5" s="15" t="s">
        <v>261</v>
      </c>
      <c r="C5" s="15" t="s">
        <v>253</v>
      </c>
      <c r="D5" s="17" t="s">
        <v>262</v>
      </c>
      <c r="E5" s="17" t="s">
        <v>255</v>
      </c>
      <c r="F5" s="31" t="s">
        <v>11</v>
      </c>
      <c r="G5" s="31" t="s">
        <v>23</v>
      </c>
      <c r="H5" s="57" t="n">
        <f aca="false">F5*G5</f>
        <v>27</v>
      </c>
      <c r="I5" s="17" t="s">
        <v>263</v>
      </c>
      <c r="J5" s="17" t="s">
        <v>257</v>
      </c>
      <c r="K5" s="17" t="s">
        <v>264</v>
      </c>
      <c r="L5" s="17" t="s">
        <v>259</v>
      </c>
      <c r="M5" s="17" t="s">
        <v>136</v>
      </c>
      <c r="N5" s="17" t="s">
        <v>265</v>
      </c>
    </row>
    <row r="6" customFormat="false" ht="49.5" hidden="false" customHeight="true" outlineLevel="0" collapsed="false">
      <c r="B6" s="11" t="s">
        <v>266</v>
      </c>
      <c r="C6" s="11" t="s">
        <v>267</v>
      </c>
      <c r="D6" s="13" t="s">
        <v>268</v>
      </c>
      <c r="E6" s="13" t="s">
        <v>269</v>
      </c>
      <c r="F6" s="29" t="s">
        <v>11</v>
      </c>
      <c r="G6" s="29" t="s">
        <v>17</v>
      </c>
      <c r="H6" s="56" t="n">
        <f aca="false">F6*G6</f>
        <v>18</v>
      </c>
      <c r="I6" s="13" t="s">
        <v>270</v>
      </c>
      <c r="J6" s="13" t="s">
        <v>257</v>
      </c>
      <c r="K6" s="13" t="s">
        <v>271</v>
      </c>
      <c r="L6" s="13" t="s">
        <v>272</v>
      </c>
      <c r="M6" s="13" t="s">
        <v>126</v>
      </c>
      <c r="N6" s="13" t="s">
        <v>260</v>
      </c>
    </row>
    <row r="7" customFormat="false" ht="49.5" hidden="false" customHeight="true" outlineLevel="0" collapsed="false">
      <c r="B7" s="15" t="s">
        <v>273</v>
      </c>
      <c r="C7" s="15" t="s">
        <v>274</v>
      </c>
      <c r="D7" s="17" t="s">
        <v>275</v>
      </c>
      <c r="E7" s="17" t="s">
        <v>276</v>
      </c>
      <c r="F7" s="31" t="s">
        <v>9</v>
      </c>
      <c r="G7" s="31" t="s">
        <v>19</v>
      </c>
      <c r="H7" s="57" t="n">
        <f aca="false">F7*G7</f>
        <v>14</v>
      </c>
      <c r="I7" s="17" t="s">
        <v>277</v>
      </c>
      <c r="J7" s="17" t="s">
        <v>257</v>
      </c>
      <c r="K7" s="17" t="s">
        <v>278</v>
      </c>
      <c r="L7" s="17" t="s">
        <v>259</v>
      </c>
      <c r="M7" s="17" t="s">
        <v>279</v>
      </c>
      <c r="N7" s="17" t="s">
        <v>265</v>
      </c>
    </row>
    <row r="8" customFormat="false" ht="49.5" hidden="false" customHeight="true" outlineLevel="0" collapsed="false">
      <c r="B8" s="11" t="s">
        <v>280</v>
      </c>
      <c r="C8" s="11" t="s">
        <v>281</v>
      </c>
      <c r="D8" s="13" t="s">
        <v>282</v>
      </c>
      <c r="E8" s="13" t="s">
        <v>283</v>
      </c>
      <c r="F8" s="29" t="s">
        <v>13</v>
      </c>
      <c r="G8" s="29" t="s">
        <v>11</v>
      </c>
      <c r="H8" s="56" t="n">
        <f aca="false">F8*G8</f>
        <v>12</v>
      </c>
      <c r="I8" s="13" t="s">
        <v>284</v>
      </c>
      <c r="J8" s="13" t="s">
        <v>285</v>
      </c>
      <c r="K8" s="13" t="s">
        <v>286</v>
      </c>
      <c r="L8" s="13" t="s">
        <v>259</v>
      </c>
      <c r="M8" s="13" t="s">
        <v>172</v>
      </c>
      <c r="N8" s="13" t="s">
        <v>287</v>
      </c>
    </row>
    <row r="9" customFormat="false" ht="49.5" hidden="false" customHeight="true" outlineLevel="0" collapsed="false">
      <c r="B9" s="15" t="s">
        <v>288</v>
      </c>
      <c r="C9" s="15" t="s">
        <v>253</v>
      </c>
      <c r="D9" s="17" t="s">
        <v>289</v>
      </c>
      <c r="E9" s="17" t="s">
        <v>290</v>
      </c>
      <c r="F9" s="31" t="s">
        <v>9</v>
      </c>
      <c r="G9" s="31" t="s">
        <v>9</v>
      </c>
      <c r="H9" s="57" t="n">
        <f aca="false">F9*G9</f>
        <v>4</v>
      </c>
      <c r="I9" s="17" t="s">
        <v>291</v>
      </c>
      <c r="J9" s="17" t="s">
        <v>285</v>
      </c>
      <c r="K9" s="17" t="s">
        <v>292</v>
      </c>
      <c r="L9" s="17" t="s">
        <v>293</v>
      </c>
      <c r="M9" s="17" t="s">
        <v>136</v>
      </c>
      <c r="N9" s="17" t="s">
        <v>294</v>
      </c>
    </row>
    <row r="10" customFormat="false" ht="49.5" hidden="false" customHeight="true" outlineLevel="0" collapsed="false">
      <c r="B10" s="11" t="s">
        <v>295</v>
      </c>
      <c r="C10" s="11" t="s">
        <v>296</v>
      </c>
      <c r="D10" s="13" t="s">
        <v>297</v>
      </c>
      <c r="E10" s="13" t="s">
        <v>298</v>
      </c>
      <c r="F10" s="29" t="s">
        <v>11</v>
      </c>
      <c r="G10" s="29" t="s">
        <v>21</v>
      </c>
      <c r="H10" s="56" t="n">
        <f aca="false">F10*G10</f>
        <v>24</v>
      </c>
      <c r="I10" s="13" t="s">
        <v>299</v>
      </c>
      <c r="J10" s="13" t="s">
        <v>257</v>
      </c>
      <c r="K10" s="13" t="s">
        <v>300</v>
      </c>
      <c r="L10" s="13" t="s">
        <v>259</v>
      </c>
      <c r="M10" s="13" t="s">
        <v>301</v>
      </c>
      <c r="N10" s="13" t="s">
        <v>260</v>
      </c>
    </row>
    <row r="11" customFormat="false" ht="49.5" hidden="false" customHeight="true" outlineLevel="0" collapsed="false">
      <c r="B11" s="15" t="s">
        <v>302</v>
      </c>
      <c r="C11" s="15" t="s">
        <v>303</v>
      </c>
      <c r="D11" s="17" t="s">
        <v>304</v>
      </c>
      <c r="E11" s="17" t="s">
        <v>305</v>
      </c>
      <c r="F11" s="31" t="s">
        <v>9</v>
      </c>
      <c r="G11" s="31" t="s">
        <v>19</v>
      </c>
      <c r="H11" s="57" t="n">
        <f aca="false">F11*G11</f>
        <v>14</v>
      </c>
      <c r="I11" s="17" t="s">
        <v>306</v>
      </c>
      <c r="J11" s="17" t="s">
        <v>257</v>
      </c>
      <c r="K11" s="17" t="s">
        <v>307</v>
      </c>
      <c r="L11" s="17" t="s">
        <v>259</v>
      </c>
      <c r="M11" s="17" t="s">
        <v>308</v>
      </c>
      <c r="N11" s="17" t="s">
        <v>260</v>
      </c>
    </row>
    <row r="12" customFormat="false" ht="49.5" hidden="false" customHeight="true" outlineLevel="0" collapsed="false">
      <c r="B12" s="11" t="s">
        <v>309</v>
      </c>
      <c r="C12" s="11" t="s">
        <v>253</v>
      </c>
      <c r="D12" s="13" t="s">
        <v>310</v>
      </c>
      <c r="E12" s="13" t="s">
        <v>255</v>
      </c>
      <c r="F12" s="29" t="s">
        <v>11</v>
      </c>
      <c r="G12" s="29" t="s">
        <v>19</v>
      </c>
      <c r="H12" s="56" t="n">
        <f aca="false">F12*G12</f>
        <v>21</v>
      </c>
      <c r="I12" s="13" t="s">
        <v>311</v>
      </c>
      <c r="J12" s="13" t="s">
        <v>257</v>
      </c>
      <c r="K12" s="13" t="s">
        <v>312</v>
      </c>
      <c r="L12" s="13" t="s">
        <v>259</v>
      </c>
      <c r="M12" s="13" t="s">
        <v>313</v>
      </c>
      <c r="N12" s="13" t="s">
        <v>265</v>
      </c>
    </row>
    <row r="13" customFormat="false" ht="49.5" hidden="false" customHeight="true" outlineLevel="0" collapsed="false">
      <c r="B13" s="15" t="s">
        <v>314</v>
      </c>
      <c r="C13" s="15" t="s">
        <v>253</v>
      </c>
      <c r="D13" s="17" t="s">
        <v>315</v>
      </c>
      <c r="E13" s="17" t="s">
        <v>255</v>
      </c>
      <c r="F13" s="31" t="s">
        <v>13</v>
      </c>
      <c r="G13" s="31" t="s">
        <v>17</v>
      </c>
      <c r="H13" s="57" t="n">
        <f aca="false">F13*G13</f>
        <v>24</v>
      </c>
      <c r="I13" s="17" t="s">
        <v>316</v>
      </c>
      <c r="J13" s="17" t="s">
        <v>257</v>
      </c>
      <c r="K13" s="17" t="s">
        <v>317</v>
      </c>
      <c r="L13" s="17" t="s">
        <v>259</v>
      </c>
      <c r="M13" s="17" t="s">
        <v>318</v>
      </c>
      <c r="N13" s="17" t="s">
        <v>260</v>
      </c>
    </row>
    <row r="14" customFormat="false" ht="49.5" hidden="false" customHeight="true" outlineLevel="0" collapsed="false">
      <c r="B14" s="11" t="s">
        <v>319</v>
      </c>
      <c r="C14" s="11" t="s">
        <v>281</v>
      </c>
      <c r="D14" s="13" t="s">
        <v>320</v>
      </c>
      <c r="E14" s="13" t="s">
        <v>321</v>
      </c>
      <c r="F14" s="29" t="s">
        <v>11</v>
      </c>
      <c r="G14" s="29" t="s">
        <v>21</v>
      </c>
      <c r="H14" s="56" t="n">
        <f aca="false">F14*G14</f>
        <v>24</v>
      </c>
      <c r="I14" s="13" t="s">
        <v>322</v>
      </c>
      <c r="J14" s="13" t="s">
        <v>257</v>
      </c>
      <c r="K14" s="13" t="s">
        <v>323</v>
      </c>
      <c r="L14" s="13" t="s">
        <v>259</v>
      </c>
      <c r="M14" s="13" t="s">
        <v>324</v>
      </c>
      <c r="N14" s="13" t="s">
        <v>260</v>
      </c>
    </row>
    <row r="15" customFormat="false" ht="49.5" hidden="false" customHeight="true" outlineLevel="0" collapsed="false">
      <c r="B15" s="15" t="s">
        <v>325</v>
      </c>
      <c r="C15" s="15" t="s">
        <v>267</v>
      </c>
      <c r="D15" s="17" t="s">
        <v>326</v>
      </c>
      <c r="E15" s="17" t="s">
        <v>327</v>
      </c>
      <c r="F15" s="31" t="s">
        <v>9</v>
      </c>
      <c r="G15" s="31" t="s">
        <v>21</v>
      </c>
      <c r="H15" s="57" t="n">
        <f aca="false">F15*G15</f>
        <v>16</v>
      </c>
      <c r="I15" s="17" t="s">
        <v>328</v>
      </c>
      <c r="J15" s="17" t="s">
        <v>285</v>
      </c>
      <c r="K15" s="17" t="s">
        <v>329</v>
      </c>
      <c r="L15" s="17" t="s">
        <v>272</v>
      </c>
      <c r="M15" s="17" t="s">
        <v>101</v>
      </c>
      <c r="N15" s="17" t="s">
        <v>260</v>
      </c>
    </row>
  </sheetData>
  <mergeCells count="2">
    <mergeCell ref="B1:M1"/>
    <mergeCell ref="B2:M2"/>
  </mergeCells>
  <conditionalFormatting sqref="H4:H15">
    <cfRule type="colorScale" priority="2">
      <colorScale>
        <cfvo type="num" val="0"/>
        <cfvo type="num" val="20"/>
        <cfvo type="num" val="45"/>
        <color rgb="FFDCFCE7"/>
        <color rgb="FFFEF3C7"/>
        <color rgb="FFDC262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B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11" min="7" style="0" width="14"/>
  </cols>
  <sheetData>
    <row r="1" customFormat="false" ht="30" hidden="false" customHeight="true" outlineLevel="0" collapsed="false">
      <c r="B1" s="1" t="s">
        <v>330</v>
      </c>
      <c r="C1" s="1"/>
      <c r="D1" s="1"/>
      <c r="E1" s="1"/>
      <c r="F1" s="1"/>
      <c r="G1" s="1"/>
      <c r="H1" s="1"/>
      <c r="I1" s="1"/>
      <c r="J1" s="1"/>
    </row>
    <row r="3" customFormat="false" ht="21.75" hidden="false" customHeight="true" outlineLevel="0" collapsed="false">
      <c r="D3" s="58" t="s">
        <v>331</v>
      </c>
      <c r="E3" s="58"/>
      <c r="F3" s="58"/>
      <c r="G3" s="58"/>
      <c r="H3" s="58"/>
      <c r="J3" s="58" t="s">
        <v>332</v>
      </c>
      <c r="K3" s="58"/>
    </row>
    <row r="4" customFormat="false" ht="27.75" hidden="false" customHeight="true" outlineLevel="0" collapsed="false">
      <c r="D4" s="59" t="s">
        <v>333</v>
      </c>
      <c r="E4" s="59" t="s">
        <v>334</v>
      </c>
      <c r="F4" s="59" t="s">
        <v>335</v>
      </c>
      <c r="G4" s="59" t="s">
        <v>336</v>
      </c>
      <c r="H4" s="59" t="s">
        <v>337</v>
      </c>
      <c r="J4" s="60" t="s">
        <v>94</v>
      </c>
    </row>
    <row r="5" customFormat="false" ht="27.75" hidden="false" customHeight="true" outlineLevel="0" collapsed="false">
      <c r="C5" s="61" t="s">
        <v>338</v>
      </c>
      <c r="D5" s="19" t="s">
        <v>116</v>
      </c>
      <c r="E5" s="35" t="s">
        <v>94</v>
      </c>
      <c r="F5" s="60" t="s">
        <v>94</v>
      </c>
      <c r="G5" s="62" t="s">
        <v>94</v>
      </c>
      <c r="H5" s="62" t="s">
        <v>94</v>
      </c>
      <c r="J5" s="35" t="s">
        <v>97</v>
      </c>
    </row>
    <row r="6" customFormat="false" ht="27.75" hidden="false" customHeight="true" outlineLevel="0" collapsed="false">
      <c r="C6" s="61" t="s">
        <v>339</v>
      </c>
      <c r="D6" s="63" t="s">
        <v>151</v>
      </c>
      <c r="E6" s="19" t="s">
        <v>116</v>
      </c>
      <c r="F6" s="35" t="s">
        <v>97</v>
      </c>
      <c r="G6" s="60" t="s">
        <v>94</v>
      </c>
      <c r="H6" s="62" t="s">
        <v>94</v>
      </c>
      <c r="J6" s="19" t="s">
        <v>116</v>
      </c>
    </row>
    <row r="7" customFormat="false" ht="27.75" hidden="false" customHeight="true" outlineLevel="0" collapsed="false">
      <c r="C7" s="61" t="s">
        <v>340</v>
      </c>
      <c r="D7" s="64" t="s">
        <v>151</v>
      </c>
      <c r="E7" s="63" t="s">
        <v>151</v>
      </c>
      <c r="F7" s="19" t="s">
        <v>116</v>
      </c>
      <c r="G7" s="35" t="s">
        <v>97</v>
      </c>
      <c r="H7" s="60" t="s">
        <v>94</v>
      </c>
      <c r="J7" s="63" t="s">
        <v>151</v>
      </c>
    </row>
    <row r="8" customFormat="false" ht="31.5" hidden="false" customHeight="true" outlineLevel="0" collapsed="false">
      <c r="C8" s="61" t="s">
        <v>341</v>
      </c>
      <c r="D8" s="64" t="s">
        <v>151</v>
      </c>
      <c r="E8" s="64" t="s">
        <v>151</v>
      </c>
      <c r="F8" s="63" t="s">
        <v>151</v>
      </c>
      <c r="G8" s="19" t="s">
        <v>116</v>
      </c>
      <c r="H8" s="35" t="s">
        <v>97</v>
      </c>
    </row>
    <row r="9" customFormat="false" ht="31.5" hidden="false" customHeight="true" outlineLevel="0" collapsed="false">
      <c r="C9" s="61" t="s">
        <v>342</v>
      </c>
      <c r="D9" s="65" t="s">
        <v>151</v>
      </c>
      <c r="E9" s="64" t="s">
        <v>151</v>
      </c>
      <c r="F9" s="64" t="s">
        <v>151</v>
      </c>
      <c r="G9" s="63" t="s">
        <v>151</v>
      </c>
      <c r="H9" s="19" t="s">
        <v>116</v>
      </c>
    </row>
    <row r="11" customFormat="false" ht="21.75" hidden="false" customHeight="true" outlineLevel="0" collapsed="false">
      <c r="B11" s="58" t="s">
        <v>343</v>
      </c>
      <c r="C11" s="58"/>
      <c r="D11" s="58"/>
      <c r="E11" s="58"/>
      <c r="F11" s="58"/>
      <c r="G11" s="58"/>
      <c r="H11" s="58"/>
    </row>
    <row r="12" customFormat="false" ht="18" hidden="false" customHeight="true" outlineLevel="0" collapsed="false">
      <c r="B12" s="61" t="s">
        <v>344</v>
      </c>
      <c r="C12" s="61" t="s">
        <v>242</v>
      </c>
      <c r="D12" s="61" t="s">
        <v>345</v>
      </c>
      <c r="E12" s="61" t="s">
        <v>346</v>
      </c>
      <c r="F12" s="61" t="s">
        <v>347</v>
      </c>
      <c r="G12" s="61" t="s">
        <v>348</v>
      </c>
      <c r="H12" s="61" t="s">
        <v>349</v>
      </c>
    </row>
    <row r="13" customFormat="false" ht="19.5" hidden="false" customHeight="true" outlineLevel="0" collapsed="false">
      <c r="B13" s="23" t="s">
        <v>252</v>
      </c>
      <c r="C13" s="17" t="s">
        <v>350</v>
      </c>
      <c r="D13" s="23" t="s">
        <v>13</v>
      </c>
      <c r="E13" s="23" t="s">
        <v>21</v>
      </c>
      <c r="F13" s="23" t="s">
        <v>351</v>
      </c>
      <c r="G13" s="66" t="s">
        <v>352</v>
      </c>
      <c r="H13" s="23" t="s">
        <v>259</v>
      </c>
    </row>
    <row r="14" customFormat="false" ht="19.5" hidden="false" customHeight="true" outlineLevel="0" collapsed="false">
      <c r="B14" s="20" t="s">
        <v>261</v>
      </c>
      <c r="C14" s="13" t="s">
        <v>353</v>
      </c>
      <c r="D14" s="20" t="s">
        <v>11</v>
      </c>
      <c r="E14" s="20" t="s">
        <v>23</v>
      </c>
      <c r="F14" s="20" t="s">
        <v>354</v>
      </c>
      <c r="G14" s="66" t="s">
        <v>352</v>
      </c>
      <c r="H14" s="20" t="s">
        <v>259</v>
      </c>
    </row>
    <row r="15" customFormat="false" ht="19.5" hidden="false" customHeight="true" outlineLevel="0" collapsed="false">
      <c r="B15" s="23" t="s">
        <v>295</v>
      </c>
      <c r="C15" s="17" t="s">
        <v>355</v>
      </c>
      <c r="D15" s="23" t="s">
        <v>11</v>
      </c>
      <c r="E15" s="23" t="s">
        <v>21</v>
      </c>
      <c r="F15" s="23" t="s">
        <v>356</v>
      </c>
      <c r="G15" s="66" t="s">
        <v>352</v>
      </c>
      <c r="H15" s="23" t="s">
        <v>259</v>
      </c>
    </row>
    <row r="16" customFormat="false" ht="19.5" hidden="false" customHeight="true" outlineLevel="0" collapsed="false">
      <c r="B16" s="20" t="s">
        <v>309</v>
      </c>
      <c r="C16" s="13" t="s">
        <v>357</v>
      </c>
      <c r="D16" s="20" t="s">
        <v>11</v>
      </c>
      <c r="E16" s="20" t="s">
        <v>19</v>
      </c>
      <c r="F16" s="20" t="s">
        <v>358</v>
      </c>
      <c r="G16" s="66" t="s">
        <v>352</v>
      </c>
      <c r="H16" s="20" t="s">
        <v>259</v>
      </c>
    </row>
    <row r="17" customFormat="false" ht="19.5" hidden="false" customHeight="true" outlineLevel="0" collapsed="false">
      <c r="B17" s="23" t="s">
        <v>319</v>
      </c>
      <c r="C17" s="17" t="s">
        <v>359</v>
      </c>
      <c r="D17" s="23" t="s">
        <v>11</v>
      </c>
      <c r="E17" s="23" t="s">
        <v>21</v>
      </c>
      <c r="F17" s="23" t="s">
        <v>356</v>
      </c>
      <c r="G17" s="66" t="s">
        <v>352</v>
      </c>
      <c r="H17" s="23" t="s">
        <v>259</v>
      </c>
    </row>
    <row r="18" customFormat="false" ht="19.5" hidden="false" customHeight="true" outlineLevel="0" collapsed="false">
      <c r="B18" s="20" t="s">
        <v>266</v>
      </c>
      <c r="C18" s="13" t="s">
        <v>360</v>
      </c>
      <c r="D18" s="20" t="s">
        <v>11</v>
      </c>
      <c r="E18" s="20" t="s">
        <v>17</v>
      </c>
      <c r="F18" s="20" t="s">
        <v>361</v>
      </c>
      <c r="G18" s="67" t="s">
        <v>362</v>
      </c>
      <c r="H18" s="20" t="s">
        <v>272</v>
      </c>
    </row>
    <row r="19" customFormat="false" ht="19.5" hidden="false" customHeight="true" outlineLevel="0" collapsed="false">
      <c r="B19" s="23" t="s">
        <v>273</v>
      </c>
      <c r="C19" s="17" t="s">
        <v>363</v>
      </c>
      <c r="D19" s="23" t="s">
        <v>9</v>
      </c>
      <c r="E19" s="23" t="s">
        <v>19</v>
      </c>
      <c r="F19" s="23" t="s">
        <v>33</v>
      </c>
      <c r="G19" s="67" t="s">
        <v>362</v>
      </c>
      <c r="H19" s="23" t="s">
        <v>259</v>
      </c>
    </row>
    <row r="20" customFormat="false" ht="19.5" hidden="false" customHeight="true" outlineLevel="0" collapsed="false">
      <c r="B20" s="20" t="s">
        <v>314</v>
      </c>
      <c r="C20" s="13" t="s">
        <v>364</v>
      </c>
      <c r="D20" s="20" t="s">
        <v>13</v>
      </c>
      <c r="E20" s="20" t="s">
        <v>17</v>
      </c>
      <c r="F20" s="20" t="s">
        <v>356</v>
      </c>
      <c r="G20" s="66" t="s">
        <v>352</v>
      </c>
      <c r="H20" s="20" t="s">
        <v>259</v>
      </c>
    </row>
    <row r="21" customFormat="false" ht="19.5" hidden="false" customHeight="true" outlineLevel="0" collapsed="false">
      <c r="B21" s="23" t="s">
        <v>302</v>
      </c>
      <c r="C21" s="17" t="s">
        <v>365</v>
      </c>
      <c r="D21" s="23" t="s">
        <v>9</v>
      </c>
      <c r="E21" s="23" t="s">
        <v>19</v>
      </c>
      <c r="F21" s="23" t="s">
        <v>33</v>
      </c>
      <c r="G21" s="67" t="s">
        <v>362</v>
      </c>
      <c r="H21" s="23" t="s">
        <v>259</v>
      </c>
    </row>
    <row r="22" customFormat="false" ht="19.5" hidden="false" customHeight="true" outlineLevel="0" collapsed="false">
      <c r="B22" s="20" t="s">
        <v>325</v>
      </c>
      <c r="C22" s="13" t="s">
        <v>366</v>
      </c>
      <c r="D22" s="20" t="s">
        <v>9</v>
      </c>
      <c r="E22" s="20" t="s">
        <v>21</v>
      </c>
      <c r="F22" s="20" t="s">
        <v>37</v>
      </c>
      <c r="G22" s="67" t="s">
        <v>362</v>
      </c>
      <c r="H22" s="20" t="s">
        <v>272</v>
      </c>
    </row>
    <row r="23" customFormat="false" ht="19.5" hidden="false" customHeight="true" outlineLevel="0" collapsed="false">
      <c r="B23" s="23" t="s">
        <v>280</v>
      </c>
      <c r="C23" s="17" t="s">
        <v>367</v>
      </c>
      <c r="D23" s="23" t="s">
        <v>13</v>
      </c>
      <c r="E23" s="23" t="s">
        <v>11</v>
      </c>
      <c r="F23" s="23" t="s">
        <v>29</v>
      </c>
      <c r="G23" s="67" t="s">
        <v>362</v>
      </c>
      <c r="H23" s="23" t="s">
        <v>259</v>
      </c>
    </row>
    <row r="24" customFormat="false" ht="19.5" hidden="false" customHeight="true" outlineLevel="0" collapsed="false">
      <c r="B24" s="20" t="s">
        <v>288</v>
      </c>
      <c r="C24" s="13" t="s">
        <v>368</v>
      </c>
      <c r="D24" s="20" t="s">
        <v>9</v>
      </c>
      <c r="E24" s="20" t="s">
        <v>9</v>
      </c>
      <c r="F24" s="20" t="s">
        <v>13</v>
      </c>
      <c r="G24" s="68" t="s">
        <v>369</v>
      </c>
      <c r="H24" s="20" t="s">
        <v>293</v>
      </c>
    </row>
  </sheetData>
  <mergeCells count="4">
    <mergeCell ref="B1:J1"/>
    <mergeCell ref="D3:H3"/>
    <mergeCell ref="J3:K3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A6"/>
    <pageSetUpPr fitToPage="fals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30" hidden="false" customHeight="true" outlineLevel="0" collapsed="false">
      <c r="B1" s="1" t="s">
        <v>370</v>
      </c>
      <c r="C1" s="1"/>
      <c r="D1" s="1"/>
      <c r="E1" s="1"/>
      <c r="F1" s="1"/>
      <c r="G1" s="1"/>
      <c r="H1" s="1"/>
    </row>
    <row r="3" customFormat="false" ht="21.75" hidden="false" customHeight="true" outlineLevel="0" collapsed="false">
      <c r="B3" s="69" t="s">
        <v>371</v>
      </c>
      <c r="C3" s="69"/>
      <c r="E3" s="69" t="s">
        <v>372</v>
      </c>
      <c r="F3" s="69"/>
      <c r="G3" s="69"/>
      <c r="H3" s="69"/>
    </row>
    <row r="4" customFormat="false" ht="18" hidden="false" customHeight="true" outlineLevel="0" collapsed="false">
      <c r="B4" s="70" t="s">
        <v>373</v>
      </c>
      <c r="C4" s="71" t="s">
        <v>374</v>
      </c>
      <c r="E4" s="61" t="s">
        <v>375</v>
      </c>
      <c r="F4" s="61" t="s">
        <v>94</v>
      </c>
      <c r="G4" s="61" t="s">
        <v>97</v>
      </c>
      <c r="H4" s="61" t="s">
        <v>148</v>
      </c>
      <c r="I4" s="61" t="s">
        <v>151</v>
      </c>
    </row>
    <row r="5" customFormat="false" ht="19.5" hidden="false" customHeight="true" outlineLevel="0" collapsed="false">
      <c r="B5" s="72" t="s">
        <v>376</v>
      </c>
      <c r="C5" s="73" t="s">
        <v>377</v>
      </c>
      <c r="E5" s="73" t="s">
        <v>253</v>
      </c>
      <c r="F5" s="31" t="s">
        <v>6</v>
      </c>
      <c r="G5" s="31" t="s">
        <v>11</v>
      </c>
      <c r="H5" s="31" t="s">
        <v>9</v>
      </c>
      <c r="I5" s="31" t="s">
        <v>6</v>
      </c>
    </row>
    <row r="6" customFormat="false" ht="19.5" hidden="false" customHeight="true" outlineLevel="0" collapsed="false">
      <c r="B6" s="70" t="s">
        <v>378</v>
      </c>
      <c r="C6" s="71" t="s">
        <v>379</v>
      </c>
      <c r="E6" s="71" t="s">
        <v>267</v>
      </c>
      <c r="F6" s="29" t="s">
        <v>380</v>
      </c>
      <c r="G6" s="29" t="s">
        <v>6</v>
      </c>
      <c r="H6" s="29" t="s">
        <v>6</v>
      </c>
      <c r="I6" s="29" t="s">
        <v>380</v>
      </c>
    </row>
    <row r="7" customFormat="false" ht="19.5" hidden="false" customHeight="true" outlineLevel="0" collapsed="false">
      <c r="B7" s="72" t="s">
        <v>381</v>
      </c>
      <c r="C7" s="73" t="s">
        <v>35</v>
      </c>
      <c r="E7" s="73" t="s">
        <v>274</v>
      </c>
      <c r="F7" s="31" t="s">
        <v>380</v>
      </c>
      <c r="G7" s="31" t="s">
        <v>6</v>
      </c>
      <c r="H7" s="31" t="s">
        <v>380</v>
      </c>
      <c r="I7" s="31" t="s">
        <v>380</v>
      </c>
    </row>
    <row r="8" customFormat="false" ht="19.5" hidden="false" customHeight="true" outlineLevel="0" collapsed="false">
      <c r="B8" s="70" t="s">
        <v>382</v>
      </c>
      <c r="C8" s="71" t="s">
        <v>29</v>
      </c>
      <c r="E8" s="71" t="s">
        <v>296</v>
      </c>
      <c r="F8" s="29" t="s">
        <v>380</v>
      </c>
      <c r="G8" s="29" t="s">
        <v>6</v>
      </c>
      <c r="H8" s="29" t="s">
        <v>380</v>
      </c>
      <c r="I8" s="29" t="s">
        <v>380</v>
      </c>
    </row>
    <row r="9" customFormat="false" ht="19.5" hidden="false" customHeight="true" outlineLevel="0" collapsed="false">
      <c r="B9" s="72" t="s">
        <v>383</v>
      </c>
      <c r="C9" s="73" t="s">
        <v>6</v>
      </c>
      <c r="E9" s="73" t="s">
        <v>281</v>
      </c>
      <c r="F9" s="31" t="s">
        <v>380</v>
      </c>
      <c r="G9" s="31" t="s">
        <v>6</v>
      </c>
      <c r="H9" s="31" t="s">
        <v>6</v>
      </c>
      <c r="I9" s="31" t="s">
        <v>380</v>
      </c>
    </row>
    <row r="10" customFormat="false" ht="19.5" hidden="false" customHeight="true" outlineLevel="0" collapsed="false">
      <c r="B10" s="70" t="s">
        <v>384</v>
      </c>
      <c r="C10" s="71" t="s">
        <v>17</v>
      </c>
      <c r="E10" s="71" t="s">
        <v>303</v>
      </c>
      <c r="F10" s="29" t="s">
        <v>380</v>
      </c>
      <c r="G10" s="29" t="s">
        <v>380</v>
      </c>
      <c r="H10" s="29" t="s">
        <v>6</v>
      </c>
      <c r="I10" s="29" t="s">
        <v>380</v>
      </c>
    </row>
    <row r="11" customFormat="false" ht="19.5" hidden="false" customHeight="true" outlineLevel="0" collapsed="false">
      <c r="B11" s="72" t="s">
        <v>385</v>
      </c>
      <c r="C11" s="73" t="s">
        <v>13</v>
      </c>
    </row>
    <row r="12" customFormat="false" ht="19.5" hidden="false" customHeight="true" outlineLevel="0" collapsed="false">
      <c r="B12" s="70" t="s">
        <v>386</v>
      </c>
      <c r="C12" s="71" t="s">
        <v>6</v>
      </c>
    </row>
    <row r="13" customFormat="false" ht="19.5" hidden="false" customHeight="true" outlineLevel="0" collapsed="false">
      <c r="B13" s="72" t="s">
        <v>387</v>
      </c>
      <c r="C13" s="73" t="s">
        <v>23</v>
      </c>
    </row>
    <row r="14" customFormat="false" ht="19.5" hidden="false" customHeight="true" outlineLevel="0" collapsed="false">
      <c r="B14" s="70" t="s">
        <v>388</v>
      </c>
      <c r="C14" s="71" t="s">
        <v>6</v>
      </c>
    </row>
    <row r="15" customFormat="false" ht="19.5" hidden="false" customHeight="true" outlineLevel="0" collapsed="false">
      <c r="B15" s="72" t="s">
        <v>389</v>
      </c>
      <c r="C15" s="73" t="s">
        <v>6</v>
      </c>
    </row>
    <row r="18" customFormat="false" ht="21.75" hidden="false" customHeight="true" outlineLevel="0" collapsed="false">
      <c r="B18" s="69" t="s">
        <v>390</v>
      </c>
      <c r="C18" s="69"/>
      <c r="D18" s="69"/>
      <c r="E18" s="69"/>
      <c r="F18" s="69"/>
      <c r="G18" s="69"/>
      <c r="H18" s="69"/>
    </row>
    <row r="19" customFormat="false" ht="18" hidden="false" customHeight="true" outlineLevel="0" collapsed="false">
      <c r="B19" s="61" t="s">
        <v>391</v>
      </c>
      <c r="C19" s="61" t="s">
        <v>392</v>
      </c>
      <c r="D19" s="61" t="s">
        <v>393</v>
      </c>
      <c r="E19" s="61" t="s">
        <v>394</v>
      </c>
      <c r="F19" s="61" t="s">
        <v>5</v>
      </c>
    </row>
    <row r="20" customFormat="false" ht="24" hidden="false" customHeight="true" outlineLevel="0" collapsed="false">
      <c r="B20" s="13" t="s">
        <v>395</v>
      </c>
      <c r="C20" s="13" t="s">
        <v>396</v>
      </c>
      <c r="D20" s="13" t="s">
        <v>397</v>
      </c>
      <c r="E20" s="13" t="s">
        <v>398</v>
      </c>
      <c r="F20" s="13" t="s">
        <v>399</v>
      </c>
    </row>
    <row r="21" customFormat="false" ht="24" hidden="false" customHeight="true" outlineLevel="0" collapsed="false">
      <c r="B21" s="17" t="s">
        <v>400</v>
      </c>
      <c r="C21" s="17" t="s">
        <v>401</v>
      </c>
      <c r="D21" s="17" t="s">
        <v>402</v>
      </c>
      <c r="E21" s="17" t="s">
        <v>403</v>
      </c>
      <c r="F21" s="17" t="s">
        <v>399</v>
      </c>
    </row>
    <row r="22" customFormat="false" ht="24" hidden="false" customHeight="true" outlineLevel="0" collapsed="false">
      <c r="B22" s="13" t="s">
        <v>404</v>
      </c>
      <c r="C22" s="13" t="s">
        <v>405</v>
      </c>
      <c r="D22" s="13" t="s">
        <v>406</v>
      </c>
      <c r="E22" s="13" t="s">
        <v>407</v>
      </c>
      <c r="F22" s="13" t="s">
        <v>399</v>
      </c>
    </row>
    <row r="23" customFormat="false" ht="24" hidden="false" customHeight="true" outlineLevel="0" collapsed="false">
      <c r="B23" s="17" t="s">
        <v>408</v>
      </c>
      <c r="C23" s="17" t="s">
        <v>409</v>
      </c>
      <c r="D23" s="17" t="s">
        <v>410</v>
      </c>
      <c r="E23" s="17" t="s">
        <v>411</v>
      </c>
      <c r="F23" s="17" t="s">
        <v>8</v>
      </c>
    </row>
    <row r="24" customFormat="false" ht="24" hidden="false" customHeight="true" outlineLevel="0" collapsed="false">
      <c r="B24" s="13" t="s">
        <v>412</v>
      </c>
      <c r="C24" s="13" t="s">
        <v>413</v>
      </c>
      <c r="D24" s="13" t="s">
        <v>414</v>
      </c>
      <c r="E24" s="13" t="s">
        <v>415</v>
      </c>
      <c r="F24" s="13" t="s">
        <v>8</v>
      </c>
    </row>
  </sheetData>
  <mergeCells count="4">
    <mergeCell ref="B1:H1"/>
    <mergeCell ref="B3:C3"/>
    <mergeCell ref="E3:H3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false"/>
  </sheetPr>
  <dimension ref="B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30" hidden="false" customHeight="true" outlineLevel="0" collapsed="false">
      <c r="B1" s="1" t="s">
        <v>416</v>
      </c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B2" s="2" t="s">
        <v>417</v>
      </c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B3" s="74" t="s">
        <v>344</v>
      </c>
      <c r="C3" s="74" t="s">
        <v>242</v>
      </c>
      <c r="D3" s="74" t="s">
        <v>176</v>
      </c>
      <c r="E3" s="74" t="s">
        <v>418</v>
      </c>
      <c r="F3" s="74" t="s">
        <v>419</v>
      </c>
      <c r="G3" s="74" t="s">
        <v>251</v>
      </c>
      <c r="H3" s="74" t="s">
        <v>420</v>
      </c>
      <c r="I3" s="74" t="s">
        <v>421</v>
      </c>
      <c r="J3" s="74" t="s">
        <v>5</v>
      </c>
    </row>
    <row r="4" customFormat="false" ht="43.5" hidden="false" customHeight="true" outlineLevel="0" collapsed="false">
      <c r="B4" s="11" t="s">
        <v>252</v>
      </c>
      <c r="C4" s="11" t="s">
        <v>350</v>
      </c>
      <c r="D4" s="66" t="s">
        <v>352</v>
      </c>
      <c r="E4" s="13" t="s">
        <v>422</v>
      </c>
      <c r="F4" s="4" t="s">
        <v>259</v>
      </c>
      <c r="G4" s="13" t="s">
        <v>119</v>
      </c>
      <c r="H4" s="13" t="s">
        <v>423</v>
      </c>
      <c r="I4" s="13" t="s">
        <v>148</v>
      </c>
      <c r="J4" s="75" t="s">
        <v>265</v>
      </c>
    </row>
    <row r="5" customFormat="false" ht="43.5" hidden="false" customHeight="true" outlineLevel="0" collapsed="false">
      <c r="B5" s="15" t="s">
        <v>261</v>
      </c>
      <c r="C5" s="15" t="s">
        <v>353</v>
      </c>
      <c r="D5" s="66" t="s">
        <v>352</v>
      </c>
      <c r="E5" s="17" t="s">
        <v>424</v>
      </c>
      <c r="F5" s="4" t="s">
        <v>259</v>
      </c>
      <c r="G5" s="17" t="s">
        <v>136</v>
      </c>
      <c r="H5" s="17" t="s">
        <v>423</v>
      </c>
      <c r="I5" s="17" t="s">
        <v>151</v>
      </c>
      <c r="J5" s="75" t="s">
        <v>265</v>
      </c>
    </row>
    <row r="6" customFormat="false" ht="43.5" hidden="false" customHeight="true" outlineLevel="0" collapsed="false">
      <c r="B6" s="11" t="s">
        <v>295</v>
      </c>
      <c r="C6" s="11" t="s">
        <v>355</v>
      </c>
      <c r="D6" s="66" t="s">
        <v>352</v>
      </c>
      <c r="E6" s="13" t="s">
        <v>425</v>
      </c>
      <c r="F6" s="4" t="s">
        <v>259</v>
      </c>
      <c r="G6" s="13" t="s">
        <v>301</v>
      </c>
      <c r="H6" s="13" t="s">
        <v>426</v>
      </c>
      <c r="I6" s="13" t="s">
        <v>151</v>
      </c>
      <c r="J6" s="76" t="s">
        <v>260</v>
      </c>
    </row>
    <row r="7" customFormat="false" ht="43.5" hidden="false" customHeight="true" outlineLevel="0" collapsed="false">
      <c r="B7" s="15" t="s">
        <v>309</v>
      </c>
      <c r="C7" s="15" t="s">
        <v>427</v>
      </c>
      <c r="D7" s="66" t="s">
        <v>352</v>
      </c>
      <c r="E7" s="17" t="s">
        <v>428</v>
      </c>
      <c r="F7" s="4" t="s">
        <v>259</v>
      </c>
      <c r="G7" s="17" t="s">
        <v>429</v>
      </c>
      <c r="H7" s="17" t="s">
        <v>430</v>
      </c>
      <c r="I7" s="17" t="s">
        <v>151</v>
      </c>
      <c r="J7" s="75" t="s">
        <v>265</v>
      </c>
    </row>
    <row r="8" customFormat="false" ht="43.5" hidden="false" customHeight="true" outlineLevel="0" collapsed="false">
      <c r="B8" s="11" t="s">
        <v>314</v>
      </c>
      <c r="C8" s="11" t="s">
        <v>364</v>
      </c>
      <c r="D8" s="66" t="s">
        <v>352</v>
      </c>
      <c r="E8" s="13" t="s">
        <v>431</v>
      </c>
      <c r="F8" s="4" t="s">
        <v>259</v>
      </c>
      <c r="G8" s="13" t="s">
        <v>318</v>
      </c>
      <c r="H8" s="13" t="s">
        <v>423</v>
      </c>
      <c r="I8" s="13" t="s">
        <v>151</v>
      </c>
      <c r="J8" s="76" t="s">
        <v>260</v>
      </c>
    </row>
    <row r="9" customFormat="false" ht="43.5" hidden="false" customHeight="true" outlineLevel="0" collapsed="false">
      <c r="B9" s="15" t="s">
        <v>319</v>
      </c>
      <c r="C9" s="15" t="s">
        <v>359</v>
      </c>
      <c r="D9" s="66" t="s">
        <v>352</v>
      </c>
      <c r="E9" s="17" t="s">
        <v>432</v>
      </c>
      <c r="F9" s="4" t="s">
        <v>259</v>
      </c>
      <c r="G9" s="17" t="s">
        <v>324</v>
      </c>
      <c r="H9" s="17" t="s">
        <v>423</v>
      </c>
      <c r="I9" s="17" t="s">
        <v>151</v>
      </c>
      <c r="J9" s="76" t="s">
        <v>260</v>
      </c>
    </row>
    <row r="10" customFormat="false" ht="43.5" hidden="false" customHeight="true" outlineLevel="0" collapsed="false">
      <c r="B10" s="11" t="s">
        <v>266</v>
      </c>
      <c r="C10" s="11" t="s">
        <v>360</v>
      </c>
      <c r="D10" s="67" t="s">
        <v>362</v>
      </c>
      <c r="E10" s="13" t="s">
        <v>433</v>
      </c>
      <c r="F10" s="77" t="s">
        <v>272</v>
      </c>
      <c r="G10" s="13" t="s">
        <v>126</v>
      </c>
      <c r="H10" s="13" t="s">
        <v>434</v>
      </c>
      <c r="I10" s="13" t="s">
        <v>151</v>
      </c>
      <c r="J10" s="76" t="s">
        <v>260</v>
      </c>
    </row>
    <row r="11" customFormat="false" ht="43.5" hidden="false" customHeight="true" outlineLevel="0" collapsed="false">
      <c r="B11" s="15" t="s">
        <v>273</v>
      </c>
      <c r="C11" s="15" t="s">
        <v>435</v>
      </c>
      <c r="D11" s="67" t="s">
        <v>362</v>
      </c>
      <c r="E11" s="17" t="s">
        <v>436</v>
      </c>
      <c r="F11" s="4" t="s">
        <v>259</v>
      </c>
      <c r="G11" s="17" t="s">
        <v>279</v>
      </c>
      <c r="H11" s="17" t="s">
        <v>426</v>
      </c>
      <c r="I11" s="17" t="s">
        <v>151</v>
      </c>
      <c r="J11" s="75" t="s">
        <v>265</v>
      </c>
    </row>
    <row r="12" customFormat="false" ht="43.5" hidden="false" customHeight="true" outlineLevel="0" collapsed="false">
      <c r="B12" s="11" t="s">
        <v>302</v>
      </c>
      <c r="C12" s="11" t="s">
        <v>437</v>
      </c>
      <c r="D12" s="67" t="s">
        <v>362</v>
      </c>
      <c r="E12" s="13" t="s">
        <v>438</v>
      </c>
      <c r="F12" s="4" t="s">
        <v>259</v>
      </c>
      <c r="G12" s="13" t="s">
        <v>308</v>
      </c>
      <c r="H12" s="13" t="s">
        <v>434</v>
      </c>
      <c r="I12" s="13" t="s">
        <v>151</v>
      </c>
      <c r="J12" s="76" t="s">
        <v>260</v>
      </c>
    </row>
    <row r="13" customFormat="false" ht="43.5" hidden="false" customHeight="true" outlineLevel="0" collapsed="false">
      <c r="B13" s="15" t="s">
        <v>325</v>
      </c>
      <c r="C13" s="15" t="s">
        <v>439</v>
      </c>
      <c r="D13" s="67" t="s">
        <v>362</v>
      </c>
      <c r="E13" s="17" t="s">
        <v>440</v>
      </c>
      <c r="F13" s="77" t="s">
        <v>272</v>
      </c>
      <c r="G13" s="17" t="s">
        <v>101</v>
      </c>
      <c r="H13" s="17" t="s">
        <v>441</v>
      </c>
      <c r="I13" s="17" t="s">
        <v>151</v>
      </c>
      <c r="J13" s="76" t="s">
        <v>260</v>
      </c>
    </row>
    <row r="14" customFormat="false" ht="43.5" hidden="false" customHeight="true" outlineLevel="0" collapsed="false">
      <c r="B14" s="11" t="s">
        <v>280</v>
      </c>
      <c r="C14" s="11" t="s">
        <v>442</v>
      </c>
      <c r="D14" s="67" t="s">
        <v>362</v>
      </c>
      <c r="E14" s="13" t="s">
        <v>443</v>
      </c>
      <c r="F14" s="4" t="s">
        <v>259</v>
      </c>
      <c r="G14" s="13" t="s">
        <v>172</v>
      </c>
      <c r="H14" s="13" t="s">
        <v>444</v>
      </c>
      <c r="I14" s="13" t="s">
        <v>151</v>
      </c>
      <c r="J14" s="78" t="s">
        <v>287</v>
      </c>
    </row>
    <row r="15" customFormat="false" ht="43.5" hidden="false" customHeight="true" outlineLevel="0" collapsed="false">
      <c r="B15" s="15" t="s">
        <v>288</v>
      </c>
      <c r="C15" s="15" t="s">
        <v>445</v>
      </c>
      <c r="D15" s="68" t="s">
        <v>369</v>
      </c>
      <c r="E15" s="17" t="s">
        <v>446</v>
      </c>
      <c r="F15" s="79" t="s">
        <v>293</v>
      </c>
      <c r="G15" s="17" t="s">
        <v>136</v>
      </c>
      <c r="H15" s="17" t="s">
        <v>294</v>
      </c>
      <c r="I15" s="17" t="s">
        <v>151</v>
      </c>
      <c r="J15" s="80" t="s">
        <v>294</v>
      </c>
    </row>
  </sheetData>
  <mergeCells count="2">
    <mergeCell ref="B1:J1"/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2026-05-11T19:53:33Z</dcterms:created>
  <dc:creator>openpyxl</dc:creator>
  <dc:description/>
  <dc:language>en-US</dc:language>
  <cp:lastModifiedBy/>
  <dcterms:modified xsi:type="dcterms:W3CDTF">2026-05-11T19:53:39Z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